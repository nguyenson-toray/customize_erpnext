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rayqn-my.sharepoint.com/personal/son_nt_tiqn_com_vn/Documents/Desktop/Dev/New folder/"/>
    </mc:Choice>
  </mc:AlternateContent>
  <xr:revisionPtr revIDLastSave="1" documentId="8_{9534BE35-5E22-44F3-86E3-4A939FD9C0E3}" xr6:coauthVersionLast="47" xr6:coauthVersionMax="47" xr10:uidLastSave="{2668F478-D124-4595-9DF5-E5F47BB6BA50}"/>
  <bookViews>
    <workbookView xWindow="1260" yWindow="3012" windowWidth="19164" windowHeight="8880" xr2:uid="{CC44556E-4D0A-422E-BCD2-CAE819218475}"/>
  </bookViews>
  <sheets>
    <sheet name="Salary" sheetId="1" r:id="rId1"/>
  </sheets>
  <externalReferences>
    <externalReference r:id="rId2"/>
  </externalReferences>
  <definedNames>
    <definedName name="_xlnm._FilterDatabase" localSheetId="0" hidden="1">Salary!$A$7:$EV$30</definedName>
    <definedName name="_xlnm.Print_Area" localSheetId="0">Salary!$A$1:$CG$36</definedName>
    <definedName name="_xlnm.Print_Titles" localSheetId="0">Salary!$1:$6</definedName>
    <definedName name="Z_9E95C07B_06E9_448C_A786_F11064D9F53E_.wvu.Cols" localSheetId="0" hidden="1">Salary!$C:$C,Salary!#REF!,Salary!$BG:$BG,Salary!$BN:$BN,Salary!#REF!</definedName>
    <definedName name="Z_9E95C07B_06E9_448C_A786_F11064D9F53E_.wvu.FilterData" localSheetId="0" hidden="1">Salary!$D$1:$D$9</definedName>
    <definedName name="Z_9E95C07B_06E9_448C_A786_F11064D9F53E_.wvu.PrintArea" localSheetId="0" hidden="1">Salary!$B$1:$CG$9</definedName>
    <definedName name="Z_9E95C07B_06E9_448C_A786_F11064D9F53E_.wvu.PrintTitles" localSheetId="0" hidden="1">Salary!$5:$6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U26" i="1" l="1"/>
  <c r="BW26" i="1"/>
  <c r="AT26" i="1"/>
  <c r="ER25" i="1"/>
  <c r="EL25" i="1"/>
  <c r="EK25" i="1"/>
  <c r="EG25" i="1"/>
  <c r="EH25" i="1" s="1"/>
  <c r="EF25" i="1"/>
  <c r="EA25" i="1"/>
  <c r="DZ25" i="1"/>
  <c r="DY25" i="1"/>
  <c r="DX25" i="1"/>
  <c r="DW25" i="1"/>
  <c r="DU25" i="1"/>
  <c r="DT25" i="1"/>
  <c r="DR25" i="1"/>
  <c r="DS25" i="1" s="1"/>
  <c r="DQ25" i="1"/>
  <c r="DO25" i="1"/>
  <c r="DN25" i="1"/>
  <c r="DP25" i="1" s="1"/>
  <c r="DM25" i="1"/>
  <c r="DL25" i="1"/>
  <c r="DI25" i="1"/>
  <c r="DH25" i="1"/>
  <c r="DG25" i="1"/>
  <c r="DE25" i="1"/>
  <c r="DF25" i="1" s="1"/>
  <c r="DK25" i="1" s="1"/>
  <c r="DD25" i="1"/>
  <c r="DC25" i="1"/>
  <c r="CI25" i="1"/>
  <c r="BS25" i="1"/>
  <c r="BR25" i="1"/>
  <c r="BQ25" i="1"/>
  <c r="BP25" i="1"/>
  <c r="BK25" i="1"/>
  <c r="BJ25" i="1"/>
  <c r="BF25" i="1"/>
  <c r="AV25" i="1"/>
  <c r="AR25" i="1"/>
  <c r="AM25" i="1"/>
  <c r="AL25" i="1"/>
  <c r="EI25" i="1" s="1"/>
  <c r="AK25" i="1"/>
  <c r="AJ25" i="1"/>
  <c r="AI25" i="1"/>
  <c r="EP25" i="1" s="1"/>
  <c r="AH25" i="1"/>
  <c r="AG25" i="1"/>
  <c r="AD25" i="1"/>
  <c r="AC25" i="1"/>
  <c r="EB25" i="1" s="1"/>
  <c r="AA25" i="1"/>
  <c r="Y25" i="1"/>
  <c r="M25" i="1"/>
  <c r="L25" i="1"/>
  <c r="F25" i="1"/>
  <c r="E25" i="1"/>
  <c r="ER24" i="1"/>
  <c r="EL24" i="1"/>
  <c r="EK24" i="1"/>
  <c r="EH24" i="1"/>
  <c r="EG24" i="1"/>
  <c r="EF24" i="1"/>
  <c r="EA24" i="1"/>
  <c r="DZ24" i="1"/>
  <c r="DY24" i="1"/>
  <c r="DX24" i="1"/>
  <c r="DW24" i="1"/>
  <c r="DV24" i="1"/>
  <c r="DU24" i="1"/>
  <c r="DT24" i="1"/>
  <c r="DR24" i="1"/>
  <c r="DS24" i="1" s="1"/>
  <c r="DQ24" i="1"/>
  <c r="DO24" i="1"/>
  <c r="DN24" i="1"/>
  <c r="DM24" i="1"/>
  <c r="DL24" i="1"/>
  <c r="DI24" i="1"/>
  <c r="DH24" i="1"/>
  <c r="DG24" i="1"/>
  <c r="DE24" i="1"/>
  <c r="DF24" i="1" s="1"/>
  <c r="DK24" i="1" s="1"/>
  <c r="DD24" i="1"/>
  <c r="DC24" i="1"/>
  <c r="CI24" i="1"/>
  <c r="BS24" i="1"/>
  <c r="BR24" i="1"/>
  <c r="BQ24" i="1"/>
  <c r="BP24" i="1"/>
  <c r="BK24" i="1"/>
  <c r="BJ24" i="1"/>
  <c r="BF24" i="1"/>
  <c r="AV24" i="1"/>
  <c r="AR24" i="1"/>
  <c r="AM24" i="1"/>
  <c r="AL24" i="1"/>
  <c r="EI24" i="1" s="1"/>
  <c r="AK24" i="1"/>
  <c r="AI24" i="1"/>
  <c r="EP24" i="1" s="1"/>
  <c r="AF24" i="1"/>
  <c r="AD24" i="1"/>
  <c r="Z24" i="1"/>
  <c r="Y24" i="1"/>
  <c r="M24" i="1"/>
  <c r="L24" i="1"/>
  <c r="F24" i="1"/>
  <c r="E24" i="1"/>
  <c r="ER23" i="1"/>
  <c r="EP23" i="1"/>
  <c r="EL23" i="1"/>
  <c r="EK23" i="1"/>
  <c r="EJ23" i="1"/>
  <c r="EI23" i="1"/>
  <c r="EH23" i="1"/>
  <c r="EG23" i="1"/>
  <c r="EF23" i="1"/>
  <c r="EA23" i="1"/>
  <c r="DZ23" i="1"/>
  <c r="DY23" i="1"/>
  <c r="DX23" i="1"/>
  <c r="DW23" i="1"/>
  <c r="DU23" i="1"/>
  <c r="DT23" i="1"/>
  <c r="DR23" i="1"/>
  <c r="DS23" i="1" s="1"/>
  <c r="DQ23" i="1"/>
  <c r="DO23" i="1"/>
  <c r="DN23" i="1"/>
  <c r="DP23" i="1" s="1"/>
  <c r="DM23" i="1"/>
  <c r="DL23" i="1"/>
  <c r="DI23" i="1"/>
  <c r="DH23" i="1"/>
  <c r="DG23" i="1"/>
  <c r="DF23" i="1"/>
  <c r="DE23" i="1"/>
  <c r="DD23" i="1"/>
  <c r="DC23" i="1"/>
  <c r="CM23" i="1"/>
  <c r="CK23" i="1"/>
  <c r="CI23" i="1"/>
  <c r="BS23" i="1"/>
  <c r="BR23" i="1"/>
  <c r="BQ23" i="1"/>
  <c r="BP23" i="1"/>
  <c r="BK23" i="1"/>
  <c r="BJ23" i="1"/>
  <c r="BF23" i="1"/>
  <c r="AX23" i="1"/>
  <c r="AV23" i="1"/>
  <c r="AR23" i="1"/>
  <c r="AM23" i="1"/>
  <c r="AN23" i="1" s="1"/>
  <c r="AL23" i="1"/>
  <c r="AK23" i="1"/>
  <c r="AI23" i="1"/>
  <c r="AD23" i="1"/>
  <c r="AA23" i="1"/>
  <c r="Y23" i="1"/>
  <c r="AH23" i="1" s="1"/>
  <c r="M23" i="1"/>
  <c r="L23" i="1" s="1"/>
  <c r="F23" i="1"/>
  <c r="E23" i="1"/>
  <c r="ER22" i="1"/>
  <c r="EL22" i="1"/>
  <c r="EM22" i="1" s="1"/>
  <c r="EK22" i="1"/>
  <c r="EJ22" i="1"/>
  <c r="EI22" i="1"/>
  <c r="EH22" i="1"/>
  <c r="EG22" i="1"/>
  <c r="EF22" i="1"/>
  <c r="EA22" i="1"/>
  <c r="DZ22" i="1"/>
  <c r="DY22" i="1"/>
  <c r="DX22" i="1"/>
  <c r="DW22" i="1"/>
  <c r="DV22" i="1"/>
  <c r="DU22" i="1"/>
  <c r="DT22" i="1"/>
  <c r="DR22" i="1"/>
  <c r="DS22" i="1" s="1"/>
  <c r="DQ22" i="1"/>
  <c r="DO22" i="1"/>
  <c r="DN22" i="1"/>
  <c r="DM22" i="1"/>
  <c r="DL22" i="1"/>
  <c r="DJ22" i="1"/>
  <c r="DI22" i="1"/>
  <c r="DH22" i="1"/>
  <c r="DK22" i="1" s="1"/>
  <c r="DG22" i="1"/>
  <c r="DF22" i="1"/>
  <c r="DE22" i="1"/>
  <c r="DD22" i="1"/>
  <c r="DC22" i="1"/>
  <c r="CM22" i="1"/>
  <c r="CK22" i="1"/>
  <c r="AW22" i="1" s="1"/>
  <c r="CI22" i="1"/>
  <c r="BS22" i="1"/>
  <c r="BR22" i="1"/>
  <c r="BQ22" i="1"/>
  <c r="BP22" i="1"/>
  <c r="BK22" i="1"/>
  <c r="BJ22" i="1"/>
  <c r="BF22" i="1"/>
  <c r="AX22" i="1"/>
  <c r="AV22" i="1"/>
  <c r="AR22" i="1"/>
  <c r="AM22" i="1"/>
  <c r="AN22" i="1" s="1"/>
  <c r="AL22" i="1"/>
  <c r="AK22" i="1"/>
  <c r="AJ22" i="1"/>
  <c r="AI22" i="1"/>
  <c r="EP22" i="1" s="1"/>
  <c r="AG22" i="1"/>
  <c r="AF22" i="1"/>
  <c r="AD22" i="1"/>
  <c r="AC22" i="1"/>
  <c r="EB22" i="1" s="1"/>
  <c r="AA22" i="1"/>
  <c r="Z22" i="1"/>
  <c r="Y22" i="1"/>
  <c r="M22" i="1"/>
  <c r="L22" i="1"/>
  <c r="F22" i="1"/>
  <c r="E22" i="1"/>
  <c r="ER21" i="1"/>
  <c r="EL21" i="1"/>
  <c r="EK21" i="1"/>
  <c r="EG21" i="1"/>
  <c r="EF21" i="1"/>
  <c r="EC21" i="1"/>
  <c r="EA21" i="1"/>
  <c r="DZ21" i="1"/>
  <c r="DY21" i="1"/>
  <c r="DX21" i="1"/>
  <c r="DU21" i="1"/>
  <c r="DT21" i="1"/>
  <c r="DR21" i="1"/>
  <c r="DS21" i="1" s="1"/>
  <c r="DQ21" i="1"/>
  <c r="DO21" i="1"/>
  <c r="DN21" i="1"/>
  <c r="DP21" i="1" s="1"/>
  <c r="DM21" i="1"/>
  <c r="DL21" i="1"/>
  <c r="DK21" i="1"/>
  <c r="DJ21" i="1"/>
  <c r="DI21" i="1"/>
  <c r="DH21" i="1"/>
  <c r="DG21" i="1"/>
  <c r="DE21" i="1"/>
  <c r="DF21" i="1" s="1"/>
  <c r="DD21" i="1"/>
  <c r="DC21" i="1"/>
  <c r="CM21" i="1"/>
  <c r="AX21" i="1" s="1"/>
  <c r="CK21" i="1"/>
  <c r="CI21" i="1"/>
  <c r="BS21" i="1"/>
  <c r="BR21" i="1"/>
  <c r="BQ21" i="1"/>
  <c r="BP21" i="1"/>
  <c r="BK21" i="1"/>
  <c r="DW21" i="1" s="1"/>
  <c r="BJ21" i="1"/>
  <c r="BF21" i="1"/>
  <c r="AV21" i="1"/>
  <c r="AR21" i="1"/>
  <c r="AM21" i="1"/>
  <c r="AL21" i="1"/>
  <c r="AK21" i="1"/>
  <c r="AJ21" i="1"/>
  <c r="AI21" i="1"/>
  <c r="EP21" i="1" s="1"/>
  <c r="AH21" i="1"/>
  <c r="AG21" i="1"/>
  <c r="AF21" i="1"/>
  <c r="AD21" i="1"/>
  <c r="AC21" i="1"/>
  <c r="EB21" i="1" s="1"/>
  <c r="ED21" i="1" s="1"/>
  <c r="AA21" i="1"/>
  <c r="Y21" i="1"/>
  <c r="M21" i="1"/>
  <c r="L21" i="1"/>
  <c r="F21" i="1"/>
  <c r="E21" i="1"/>
  <c r="ER20" i="1"/>
  <c r="EP20" i="1"/>
  <c r="EL20" i="1"/>
  <c r="EK20" i="1"/>
  <c r="EH20" i="1"/>
  <c r="EG20" i="1"/>
  <c r="EF20" i="1"/>
  <c r="EA20" i="1"/>
  <c r="DZ20" i="1"/>
  <c r="DY20" i="1"/>
  <c r="DX20" i="1"/>
  <c r="DU20" i="1"/>
  <c r="DT20" i="1"/>
  <c r="DR20" i="1"/>
  <c r="DS20" i="1" s="1"/>
  <c r="DQ20" i="1"/>
  <c r="DO20" i="1"/>
  <c r="DN20" i="1"/>
  <c r="DP20" i="1" s="1"/>
  <c r="DM20" i="1"/>
  <c r="DL20" i="1"/>
  <c r="DJ20" i="1"/>
  <c r="DI20" i="1"/>
  <c r="DH20" i="1"/>
  <c r="DG20" i="1"/>
  <c r="DF20" i="1"/>
  <c r="DK20" i="1" s="1"/>
  <c r="DE20" i="1"/>
  <c r="DD20" i="1"/>
  <c r="DC20" i="1"/>
  <c r="CM20" i="1"/>
  <c r="AX20" i="1" s="1"/>
  <c r="CK20" i="1"/>
  <c r="AW20" i="1" s="1"/>
  <c r="CI20" i="1"/>
  <c r="BS20" i="1"/>
  <c r="BR20" i="1"/>
  <c r="BQ20" i="1"/>
  <c r="BP20" i="1"/>
  <c r="BK20" i="1"/>
  <c r="DW20" i="1" s="1"/>
  <c r="BJ20" i="1"/>
  <c r="DV20" i="1" s="1"/>
  <c r="BF20" i="1"/>
  <c r="AV20" i="1"/>
  <c r="AR20" i="1"/>
  <c r="AM20" i="1"/>
  <c r="AL20" i="1"/>
  <c r="EI20" i="1" s="1"/>
  <c r="AK20" i="1"/>
  <c r="AJ20" i="1"/>
  <c r="AI20" i="1"/>
  <c r="AG20" i="1"/>
  <c r="AC20" i="1"/>
  <c r="EB20" i="1" s="1"/>
  <c r="AB20" i="1"/>
  <c r="Z20" i="1"/>
  <c r="Y20" i="1"/>
  <c r="M20" i="1"/>
  <c r="L20" i="1"/>
  <c r="F20" i="1"/>
  <c r="E20" i="1"/>
  <c r="ER19" i="1"/>
  <c r="EL19" i="1"/>
  <c r="EK19" i="1"/>
  <c r="EI19" i="1"/>
  <c r="EH19" i="1"/>
  <c r="EG19" i="1"/>
  <c r="EF19" i="1"/>
  <c r="EC19" i="1"/>
  <c r="EB19" i="1"/>
  <c r="EA19" i="1"/>
  <c r="DZ19" i="1"/>
  <c r="DY19" i="1"/>
  <c r="DX19" i="1"/>
  <c r="DW19" i="1"/>
  <c r="DU19" i="1"/>
  <c r="DT19" i="1"/>
  <c r="DR19" i="1"/>
  <c r="DS19" i="1" s="1"/>
  <c r="DQ19" i="1"/>
  <c r="DO19" i="1"/>
  <c r="DP19" i="1" s="1"/>
  <c r="DN19" i="1"/>
  <c r="DM19" i="1"/>
  <c r="DL19" i="1"/>
  <c r="DK19" i="1"/>
  <c r="DJ19" i="1"/>
  <c r="DI19" i="1"/>
  <c r="DH19" i="1"/>
  <c r="DG19" i="1"/>
  <c r="DF19" i="1"/>
  <c r="DE19" i="1"/>
  <c r="DD19" i="1"/>
  <c r="DC19" i="1"/>
  <c r="CI19" i="1"/>
  <c r="BS19" i="1"/>
  <c r="BR19" i="1"/>
  <c r="BQ19" i="1"/>
  <c r="BP19" i="1"/>
  <c r="BK19" i="1"/>
  <c r="BJ19" i="1"/>
  <c r="DV19" i="1" s="1"/>
  <c r="BF19" i="1"/>
  <c r="AV19" i="1"/>
  <c r="AR19" i="1"/>
  <c r="AM19" i="1"/>
  <c r="AN19" i="1" s="1"/>
  <c r="EM19" i="1" s="1"/>
  <c r="AL19" i="1"/>
  <c r="AK19" i="1"/>
  <c r="AI19" i="1"/>
  <c r="EP19" i="1" s="1"/>
  <c r="AH19" i="1"/>
  <c r="AF19" i="1"/>
  <c r="AD19" i="1"/>
  <c r="AC19" i="1"/>
  <c r="AB19" i="1"/>
  <c r="Y19" i="1"/>
  <c r="M19" i="1"/>
  <c r="F19" i="1"/>
  <c r="E19" i="1"/>
  <c r="ER18" i="1"/>
  <c r="EN18" i="1"/>
  <c r="EL18" i="1"/>
  <c r="EK18" i="1"/>
  <c r="EG18" i="1"/>
  <c r="EH18" i="1" s="1"/>
  <c r="EF18" i="1"/>
  <c r="EA18" i="1"/>
  <c r="DZ18" i="1"/>
  <c r="DY18" i="1"/>
  <c r="DX18" i="1"/>
  <c r="DU18" i="1"/>
  <c r="DT18" i="1"/>
  <c r="DR18" i="1"/>
  <c r="DS18" i="1" s="1"/>
  <c r="DQ18" i="1"/>
  <c r="DO18" i="1"/>
  <c r="DN18" i="1"/>
  <c r="DM18" i="1"/>
  <c r="DL18" i="1"/>
  <c r="DK18" i="1"/>
  <c r="DI18" i="1"/>
  <c r="DH18" i="1"/>
  <c r="DG18" i="1"/>
  <c r="DF18" i="1"/>
  <c r="DE18" i="1"/>
  <c r="DD18" i="1"/>
  <c r="DC18" i="1"/>
  <c r="CI18" i="1"/>
  <c r="BS18" i="1"/>
  <c r="BR18" i="1"/>
  <c r="BQ18" i="1"/>
  <c r="BP18" i="1"/>
  <c r="BK18" i="1"/>
  <c r="DW18" i="1" s="1"/>
  <c r="BJ18" i="1"/>
  <c r="BF18" i="1"/>
  <c r="AV18" i="1"/>
  <c r="AR18" i="1"/>
  <c r="AN18" i="1"/>
  <c r="AM18" i="1"/>
  <c r="EJ18" i="1" s="1"/>
  <c r="AL18" i="1"/>
  <c r="EI18" i="1" s="1"/>
  <c r="AK18" i="1"/>
  <c r="AI18" i="1"/>
  <c r="EP18" i="1" s="1"/>
  <c r="AG18" i="1"/>
  <c r="AD18" i="1"/>
  <c r="AB18" i="1"/>
  <c r="AA18" i="1"/>
  <c r="Z18" i="1"/>
  <c r="Y18" i="1"/>
  <c r="AH18" i="1" s="1"/>
  <c r="M18" i="1"/>
  <c r="F18" i="1"/>
  <c r="E18" i="1"/>
  <c r="ER17" i="1"/>
  <c r="EP17" i="1"/>
  <c r="EL17" i="1"/>
  <c r="EM17" i="1" s="1"/>
  <c r="EK17" i="1"/>
  <c r="EG17" i="1"/>
  <c r="EH17" i="1" s="1"/>
  <c r="EF17" i="1"/>
  <c r="EA17" i="1"/>
  <c r="DZ17" i="1"/>
  <c r="DY17" i="1"/>
  <c r="DX17" i="1"/>
  <c r="DU17" i="1"/>
  <c r="DT17" i="1"/>
  <c r="DR17" i="1"/>
  <c r="DS17" i="1" s="1"/>
  <c r="DQ17" i="1"/>
  <c r="DP17" i="1"/>
  <c r="DO17" i="1"/>
  <c r="DN17" i="1"/>
  <c r="DM17" i="1"/>
  <c r="DL17" i="1"/>
  <c r="DJ17" i="1"/>
  <c r="DI17" i="1"/>
  <c r="DH17" i="1"/>
  <c r="DG17" i="1"/>
  <c r="DF17" i="1"/>
  <c r="DK17" i="1" s="1"/>
  <c r="DE17" i="1"/>
  <c r="DD17" i="1"/>
  <c r="DC17" i="1"/>
  <c r="CM17" i="1"/>
  <c r="AX17" i="1" s="1"/>
  <c r="CK17" i="1"/>
  <c r="CI17" i="1"/>
  <c r="BS17" i="1"/>
  <c r="BR17" i="1"/>
  <c r="BQ17" i="1"/>
  <c r="BP17" i="1"/>
  <c r="BK17" i="1"/>
  <c r="DW17" i="1" s="1"/>
  <c r="BJ17" i="1"/>
  <c r="BF17" i="1"/>
  <c r="AV17" i="1"/>
  <c r="AR17" i="1"/>
  <c r="AM17" i="1"/>
  <c r="AN17" i="1" s="1"/>
  <c r="AL17" i="1"/>
  <c r="AK17" i="1"/>
  <c r="AJ17" i="1"/>
  <c r="AI17" i="1"/>
  <c r="AG17" i="1"/>
  <c r="AD17" i="1"/>
  <c r="AB17" i="1"/>
  <c r="Z17" i="1"/>
  <c r="Y17" i="1"/>
  <c r="AH17" i="1" s="1"/>
  <c r="M17" i="1"/>
  <c r="L17" i="1" s="1"/>
  <c r="F17" i="1"/>
  <c r="E17" i="1"/>
  <c r="ER16" i="1"/>
  <c r="EP16" i="1"/>
  <c r="EL16" i="1"/>
  <c r="EK16" i="1"/>
  <c r="EJ16" i="1"/>
  <c r="EG16" i="1"/>
  <c r="EH16" i="1" s="1"/>
  <c r="EF16" i="1"/>
  <c r="EI16" i="1" s="1"/>
  <c r="EA16" i="1"/>
  <c r="DZ16" i="1"/>
  <c r="DY16" i="1"/>
  <c r="DX16" i="1"/>
  <c r="DU16" i="1"/>
  <c r="DT16" i="1"/>
  <c r="DR16" i="1"/>
  <c r="DS16" i="1" s="1"/>
  <c r="DQ16" i="1"/>
  <c r="DO16" i="1"/>
  <c r="DN16" i="1"/>
  <c r="DP16" i="1" s="1"/>
  <c r="DM16" i="1"/>
  <c r="DL16" i="1"/>
  <c r="DK16" i="1"/>
  <c r="DJ16" i="1"/>
  <c r="DI16" i="1"/>
  <c r="DH16" i="1"/>
  <c r="DG16" i="1"/>
  <c r="DF16" i="1"/>
  <c r="DE16" i="1"/>
  <c r="DD16" i="1"/>
  <c r="DC16" i="1"/>
  <c r="CK16" i="1"/>
  <c r="AW16" i="1" s="1"/>
  <c r="CI16" i="1"/>
  <c r="BS16" i="1"/>
  <c r="BR16" i="1"/>
  <c r="BQ16" i="1"/>
  <c r="BP16" i="1"/>
  <c r="BK16" i="1"/>
  <c r="DW16" i="1" s="1"/>
  <c r="BJ16" i="1"/>
  <c r="BF16" i="1"/>
  <c r="AV16" i="1"/>
  <c r="AR16" i="1"/>
  <c r="AM16" i="1"/>
  <c r="AL16" i="1"/>
  <c r="AK16" i="1"/>
  <c r="AI16" i="1"/>
  <c r="AG16" i="1"/>
  <c r="AF16" i="1"/>
  <c r="AD16" i="1"/>
  <c r="AC16" i="1"/>
  <c r="EC16" i="1" s="1"/>
  <c r="AB16" i="1"/>
  <c r="Z16" i="1"/>
  <c r="Y16" i="1"/>
  <c r="AH16" i="1" s="1"/>
  <c r="M16" i="1"/>
  <c r="F16" i="1"/>
  <c r="E16" i="1"/>
  <c r="ER15" i="1"/>
  <c r="EP15" i="1"/>
  <c r="EL15" i="1"/>
  <c r="EK15" i="1"/>
  <c r="EJ15" i="1"/>
  <c r="EH15" i="1"/>
  <c r="EG15" i="1"/>
  <c r="EF15" i="1"/>
  <c r="EA15" i="1"/>
  <c r="DZ15" i="1"/>
  <c r="DY15" i="1"/>
  <c r="DX15" i="1"/>
  <c r="DW15" i="1"/>
  <c r="DU15" i="1"/>
  <c r="DT15" i="1"/>
  <c r="DR15" i="1"/>
  <c r="DS15" i="1" s="1"/>
  <c r="DQ15" i="1"/>
  <c r="DP15" i="1"/>
  <c r="DO15" i="1"/>
  <c r="DN15" i="1"/>
  <c r="DM15" i="1"/>
  <c r="DL15" i="1"/>
  <c r="DK15" i="1"/>
  <c r="DI15" i="1"/>
  <c r="DH15" i="1"/>
  <c r="DG15" i="1"/>
  <c r="DE15" i="1"/>
  <c r="DF15" i="1" s="1"/>
  <c r="DD15" i="1"/>
  <c r="DC15" i="1"/>
  <c r="CK15" i="1"/>
  <c r="CI15" i="1"/>
  <c r="BS15" i="1"/>
  <c r="BR15" i="1"/>
  <c r="BQ15" i="1"/>
  <c r="BP15" i="1"/>
  <c r="BK15" i="1"/>
  <c r="BJ15" i="1"/>
  <c r="DV15" i="1" s="1"/>
  <c r="BF15" i="1"/>
  <c r="AV15" i="1"/>
  <c r="AR15" i="1"/>
  <c r="AM15" i="1"/>
  <c r="AN15" i="1" s="1"/>
  <c r="AL15" i="1"/>
  <c r="EI15" i="1" s="1"/>
  <c r="AK15" i="1"/>
  <c r="AI15" i="1"/>
  <c r="Y15" i="1"/>
  <c r="AB15" i="1" s="1"/>
  <c r="M15" i="1"/>
  <c r="F15" i="1"/>
  <c r="E15" i="1"/>
  <c r="ER14" i="1"/>
  <c r="EN14" i="1"/>
  <c r="EO14" i="1" s="1"/>
  <c r="EL14" i="1"/>
  <c r="EK14" i="1"/>
  <c r="EH14" i="1"/>
  <c r="EG14" i="1"/>
  <c r="EF14" i="1"/>
  <c r="EA14" i="1"/>
  <c r="DZ14" i="1"/>
  <c r="DY14" i="1"/>
  <c r="DX14" i="1"/>
  <c r="DW14" i="1"/>
  <c r="DU14" i="1"/>
  <c r="DT14" i="1"/>
  <c r="DR14" i="1"/>
  <c r="DS14" i="1" s="1"/>
  <c r="DQ14" i="1"/>
  <c r="DO14" i="1"/>
  <c r="DN14" i="1"/>
  <c r="DP14" i="1" s="1"/>
  <c r="DM14" i="1"/>
  <c r="DL14" i="1"/>
  <c r="DJ14" i="1"/>
  <c r="DI14" i="1"/>
  <c r="DH14" i="1"/>
  <c r="DG14" i="1"/>
  <c r="DF14" i="1"/>
  <c r="DF9" i="1" s="1"/>
  <c r="DF26" i="1" s="1"/>
  <c r="DE14" i="1"/>
  <c r="DD14" i="1"/>
  <c r="DC14" i="1"/>
  <c r="CK14" i="1"/>
  <c r="CI14" i="1"/>
  <c r="BS14" i="1"/>
  <c r="BR14" i="1"/>
  <c r="BQ14" i="1"/>
  <c r="BP14" i="1"/>
  <c r="BK14" i="1"/>
  <c r="BJ14" i="1"/>
  <c r="BF14" i="1"/>
  <c r="AV14" i="1"/>
  <c r="AR14" i="1"/>
  <c r="AM14" i="1"/>
  <c r="AL14" i="1"/>
  <c r="EI14" i="1" s="1"/>
  <c r="AK14" i="1"/>
  <c r="AI14" i="1"/>
  <c r="EP14" i="1" s="1"/>
  <c r="AH14" i="1"/>
  <c r="AD14" i="1"/>
  <c r="AC14" i="1"/>
  <c r="AB14" i="1"/>
  <c r="Z14" i="1"/>
  <c r="Y14" i="1"/>
  <c r="AJ14" i="1" s="1"/>
  <c r="M14" i="1"/>
  <c r="CM14" i="1" s="1"/>
  <c r="AX14" i="1" s="1"/>
  <c r="L14" i="1"/>
  <c r="F14" i="1"/>
  <c r="E14" i="1"/>
  <c r="ER13" i="1"/>
  <c r="EN13" i="1"/>
  <c r="EL13" i="1"/>
  <c r="EK13" i="1"/>
  <c r="EK9" i="1" s="1"/>
  <c r="EK26" i="1" s="1"/>
  <c r="EJ13" i="1"/>
  <c r="EI13" i="1"/>
  <c r="EH13" i="1"/>
  <c r="EG13" i="1"/>
  <c r="EF13" i="1"/>
  <c r="EA13" i="1"/>
  <c r="DZ13" i="1"/>
  <c r="DY13" i="1"/>
  <c r="DX13" i="1"/>
  <c r="DW13" i="1"/>
  <c r="DT13" i="1"/>
  <c r="DR13" i="1"/>
  <c r="DS13" i="1" s="1"/>
  <c r="DQ13" i="1"/>
  <c r="DO13" i="1"/>
  <c r="DP13" i="1" s="1"/>
  <c r="DN13" i="1"/>
  <c r="DM13" i="1"/>
  <c r="DL13" i="1"/>
  <c r="DK13" i="1"/>
  <c r="DJ13" i="1"/>
  <c r="EO13" i="1" s="1"/>
  <c r="DI13" i="1"/>
  <c r="DH13" i="1"/>
  <c r="DG13" i="1"/>
  <c r="DF13" i="1"/>
  <c r="DE13" i="1"/>
  <c r="DD13" i="1"/>
  <c r="DC13" i="1"/>
  <c r="CL13" i="1"/>
  <c r="CK13" i="1"/>
  <c r="CI13" i="1"/>
  <c r="BP13" i="1"/>
  <c r="BK13" i="1"/>
  <c r="BS13" i="1" s="1"/>
  <c r="BJ13" i="1"/>
  <c r="DV13" i="1" s="1"/>
  <c r="BI13" i="1"/>
  <c r="BF13" i="1"/>
  <c r="AV13" i="1"/>
  <c r="AR13" i="1"/>
  <c r="AN13" i="1"/>
  <c r="AM13" i="1"/>
  <c r="AL13" i="1"/>
  <c r="AK13" i="1"/>
  <c r="AJ13" i="1"/>
  <c r="AI13" i="1"/>
  <c r="EP13" i="1" s="1"/>
  <c r="AH13" i="1"/>
  <c r="AF13" i="1"/>
  <c r="AE13" i="1"/>
  <c r="AD13" i="1"/>
  <c r="AC13" i="1"/>
  <c r="AA13" i="1"/>
  <c r="Z13" i="1"/>
  <c r="Y13" i="1"/>
  <c r="M13" i="1"/>
  <c r="L13" i="1"/>
  <c r="F13" i="1"/>
  <c r="E13" i="1"/>
  <c r="ER12" i="1"/>
  <c r="EL12" i="1"/>
  <c r="EK12" i="1"/>
  <c r="EH12" i="1"/>
  <c r="EG12" i="1"/>
  <c r="EF12" i="1"/>
  <c r="EA12" i="1"/>
  <c r="DZ12" i="1"/>
  <c r="DY12" i="1"/>
  <c r="DX12" i="1"/>
  <c r="DW12" i="1"/>
  <c r="DU12" i="1"/>
  <c r="DT12" i="1"/>
  <c r="DR12" i="1"/>
  <c r="DS12" i="1" s="1"/>
  <c r="DQ12" i="1"/>
  <c r="DO12" i="1"/>
  <c r="DN12" i="1"/>
  <c r="DP12" i="1" s="1"/>
  <c r="DM12" i="1"/>
  <c r="DL12" i="1"/>
  <c r="DJ12" i="1"/>
  <c r="DI12" i="1"/>
  <c r="DG12" i="1"/>
  <c r="DH12" i="1" s="1"/>
  <c r="DE12" i="1"/>
  <c r="DF12" i="1" s="1"/>
  <c r="DK12" i="1" s="1"/>
  <c r="DD12" i="1"/>
  <c r="DC12" i="1"/>
  <c r="CL12" i="1"/>
  <c r="CI12" i="1"/>
  <c r="BS12" i="1"/>
  <c r="BQ12" i="1"/>
  <c r="BP12" i="1"/>
  <c r="BK12" i="1"/>
  <c r="BJ12" i="1"/>
  <c r="BF12" i="1"/>
  <c r="AV12" i="1"/>
  <c r="AR12" i="1"/>
  <c r="AM12" i="1"/>
  <c r="AL12" i="1"/>
  <c r="AK12" i="1"/>
  <c r="AI12" i="1"/>
  <c r="EP12" i="1" s="1"/>
  <c r="AG12" i="1"/>
  <c r="AF12" i="1"/>
  <c r="AE12" i="1"/>
  <c r="AD12" i="1"/>
  <c r="AB12" i="1"/>
  <c r="Z12" i="1"/>
  <c r="Y12" i="1"/>
  <c r="M12" i="1"/>
  <c r="L12" i="1" s="1"/>
  <c r="F12" i="1"/>
  <c r="E12" i="1"/>
  <c r="ER11" i="1"/>
  <c r="EN11" i="1"/>
  <c r="EL11" i="1"/>
  <c r="EK11" i="1"/>
  <c r="EG11" i="1"/>
  <c r="EF11" i="1"/>
  <c r="EC11" i="1"/>
  <c r="EB11" i="1"/>
  <c r="ED11" i="1" s="1"/>
  <c r="EA11" i="1"/>
  <c r="EA9" i="1" s="1"/>
  <c r="EA26" i="1" s="1"/>
  <c r="DZ11" i="1"/>
  <c r="DY11" i="1"/>
  <c r="DX11" i="1"/>
  <c r="DT11" i="1"/>
  <c r="DR11" i="1"/>
  <c r="DQ11" i="1"/>
  <c r="DQ9" i="1" s="1"/>
  <c r="DQ26" i="1" s="1"/>
  <c r="DO11" i="1"/>
  <c r="DO9" i="1" s="1"/>
  <c r="DO26" i="1" s="1"/>
  <c r="DN11" i="1"/>
  <c r="DM11" i="1"/>
  <c r="DL11" i="1"/>
  <c r="DK11" i="1"/>
  <c r="DI11" i="1"/>
  <c r="DG11" i="1"/>
  <c r="DH11" i="1" s="1"/>
  <c r="DF11" i="1"/>
  <c r="DE11" i="1"/>
  <c r="DD11" i="1"/>
  <c r="DC11" i="1"/>
  <c r="CM11" i="1"/>
  <c r="AX11" i="1" s="1"/>
  <c r="CL11" i="1"/>
  <c r="CK11" i="1"/>
  <c r="AW11" i="1" s="1"/>
  <c r="CI11" i="1"/>
  <c r="BR11" i="1"/>
  <c r="BP11" i="1"/>
  <c r="BK11" i="1"/>
  <c r="BJ11" i="1"/>
  <c r="DV11" i="1" s="1"/>
  <c r="BI11" i="1"/>
  <c r="BF11" i="1"/>
  <c r="AV11" i="1"/>
  <c r="AR11" i="1"/>
  <c r="AM11" i="1"/>
  <c r="EJ11" i="1" s="1"/>
  <c r="AL11" i="1"/>
  <c r="AK11" i="1"/>
  <c r="AK9" i="1" s="1"/>
  <c r="AK26" i="1" s="1"/>
  <c r="AI11" i="1"/>
  <c r="EP11" i="1" s="1"/>
  <c r="AH11" i="1"/>
  <c r="AG11" i="1"/>
  <c r="AF11" i="1"/>
  <c r="AE11" i="1"/>
  <c r="AD11" i="1"/>
  <c r="AC11" i="1"/>
  <c r="AB11" i="1"/>
  <c r="AA11" i="1"/>
  <c r="Z11" i="1"/>
  <c r="Y11" i="1"/>
  <c r="M11" i="1"/>
  <c r="L11" i="1"/>
  <c r="F11" i="1"/>
  <c r="E11" i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ER10" i="1"/>
  <c r="EL10" i="1"/>
  <c r="EL9" i="1" s="1"/>
  <c r="EL26" i="1" s="1"/>
  <c r="EK10" i="1"/>
  <c r="EI10" i="1"/>
  <c r="EG10" i="1"/>
  <c r="EG9" i="1" s="1"/>
  <c r="EG26" i="1" s="1"/>
  <c r="EF10" i="1"/>
  <c r="EA10" i="1"/>
  <c r="DZ10" i="1"/>
  <c r="DZ9" i="1" s="1"/>
  <c r="DZ26" i="1" s="1"/>
  <c r="DY10" i="1"/>
  <c r="DY9" i="1" s="1"/>
  <c r="DY26" i="1" s="1"/>
  <c r="DX10" i="1"/>
  <c r="DW10" i="1"/>
  <c r="DT10" i="1"/>
  <c r="DS10" i="1"/>
  <c r="DR10" i="1"/>
  <c r="DQ10" i="1"/>
  <c r="DO10" i="1"/>
  <c r="DN10" i="1"/>
  <c r="DM10" i="1"/>
  <c r="DM9" i="1" s="1"/>
  <c r="DM26" i="1" s="1"/>
  <c r="DL10" i="1"/>
  <c r="DJ10" i="1"/>
  <c r="EO10" i="1" s="1"/>
  <c r="DI10" i="1"/>
  <c r="DG10" i="1"/>
  <c r="DF10" i="1"/>
  <c r="DE10" i="1"/>
  <c r="DD10" i="1"/>
  <c r="DC10" i="1"/>
  <c r="CM10" i="1"/>
  <c r="CL10" i="1"/>
  <c r="CK10" i="1"/>
  <c r="CO10" i="1" s="1"/>
  <c r="CI10" i="1"/>
  <c r="CI9" i="1" s="1"/>
  <c r="CI26" i="1" s="1"/>
  <c r="BS10" i="1"/>
  <c r="BP10" i="1"/>
  <c r="BK10" i="1"/>
  <c r="BJ10" i="1"/>
  <c r="BI10" i="1"/>
  <c r="BI9" i="1" s="1"/>
  <c r="BI26" i="1" s="1"/>
  <c r="BF10" i="1"/>
  <c r="AX10" i="1"/>
  <c r="AW10" i="1"/>
  <c r="AV10" i="1"/>
  <c r="AV9" i="1" s="1"/>
  <c r="AV26" i="1" s="1"/>
  <c r="AR10" i="1"/>
  <c r="AR9" i="1" s="1"/>
  <c r="AR26" i="1" s="1"/>
  <c r="AM10" i="1"/>
  <c r="AL10" i="1"/>
  <c r="AK10" i="1"/>
  <c r="AJ10" i="1"/>
  <c r="AI10" i="1"/>
  <c r="AH10" i="1"/>
  <c r="AF10" i="1"/>
  <c r="AE10" i="1"/>
  <c r="AD10" i="1"/>
  <c r="AC10" i="1"/>
  <c r="AB10" i="1"/>
  <c r="Y10" i="1"/>
  <c r="EN10" i="1" s="1"/>
  <c r="M10" i="1"/>
  <c r="L10" i="1"/>
  <c r="F10" i="1"/>
  <c r="E10" i="1"/>
  <c r="DI9" i="1"/>
  <c r="DI26" i="1" s="1"/>
  <c r="DE9" i="1"/>
  <c r="DE26" i="1" s="1"/>
  <c r="DD9" i="1"/>
  <c r="DD26" i="1" s="1"/>
  <c r="DB9" i="1"/>
  <c r="DB26" i="1" s="1"/>
  <c r="DA9" i="1"/>
  <c r="CZ9" i="1"/>
  <c r="CY9" i="1"/>
  <c r="CY26" i="1" s="1"/>
  <c r="CX9" i="1"/>
  <c r="CX26" i="1" s="1"/>
  <c r="CW9" i="1"/>
  <c r="CW26" i="1" s="1"/>
  <c r="CV9" i="1"/>
  <c r="CV26" i="1" s="1"/>
  <c r="CU9" i="1"/>
  <c r="CT9" i="1"/>
  <c r="CT26" i="1" s="1"/>
  <c r="CS9" i="1"/>
  <c r="CS26" i="1" s="1"/>
  <c r="CR9" i="1"/>
  <c r="CR26" i="1" s="1"/>
  <c r="CQ9" i="1"/>
  <c r="CQ26" i="1" s="1"/>
  <c r="CP9" i="1"/>
  <c r="CP26" i="1" s="1"/>
  <c r="CN9" i="1"/>
  <c r="CN26" i="1" s="1"/>
  <c r="CL9" i="1"/>
  <c r="CL26" i="1" s="1"/>
  <c r="CJ9" i="1"/>
  <c r="CJ26" i="1" s="1"/>
  <c r="CF9" i="1"/>
  <c r="CF26" i="1" s="1"/>
  <c r="CE9" i="1"/>
  <c r="CE26" i="1" s="1"/>
  <c r="CD9" i="1"/>
  <c r="CD26" i="1" s="1"/>
  <c r="CC9" i="1"/>
  <c r="CC26" i="1" s="1"/>
  <c r="CB9" i="1"/>
  <c r="CB26" i="1" s="1"/>
  <c r="CA9" i="1"/>
  <c r="CA26" i="1" s="1"/>
  <c r="BZ9" i="1"/>
  <c r="BZ26" i="1" s="1"/>
  <c r="BY9" i="1"/>
  <c r="BY26" i="1" s="1"/>
  <c r="BX9" i="1"/>
  <c r="BX26" i="1" s="1"/>
  <c r="BW9" i="1"/>
  <c r="BV9" i="1"/>
  <c r="BV26" i="1" s="1"/>
  <c r="BU9" i="1"/>
  <c r="BU26" i="1" s="1"/>
  <c r="BT9" i="1"/>
  <c r="BT26" i="1" s="1"/>
  <c r="BK9" i="1"/>
  <c r="BK26" i="1" s="1"/>
  <c r="BH9" i="1"/>
  <c r="BH26" i="1" s="1"/>
  <c r="BG9" i="1"/>
  <c r="BG26" i="1" s="1"/>
  <c r="BD9" i="1"/>
  <c r="BD26" i="1" s="1"/>
  <c r="BC9" i="1"/>
  <c r="BC26" i="1" s="1"/>
  <c r="BB9" i="1"/>
  <c r="BB26" i="1" s="1"/>
  <c r="BA9" i="1"/>
  <c r="BA26" i="1" s="1"/>
  <c r="AZ9" i="1"/>
  <c r="AZ26" i="1" s="1"/>
  <c r="AY9" i="1"/>
  <c r="AY26" i="1" s="1"/>
  <c r="AU9" i="1"/>
  <c r="AU26" i="1" s="1"/>
  <c r="AT9" i="1"/>
  <c r="AS9" i="1"/>
  <c r="AS26" i="1" s="1"/>
  <c r="AQ9" i="1"/>
  <c r="AQ26" i="1" s="1"/>
  <c r="AP9" i="1"/>
  <c r="AP26" i="1" s="1"/>
  <c r="AO9" i="1"/>
  <c r="AO26" i="1" s="1"/>
  <c r="Y9" i="1"/>
  <c r="Y26" i="1" s="1"/>
  <c r="X9" i="1"/>
  <c r="X26" i="1" s="1"/>
  <c r="W9" i="1"/>
  <c r="W26" i="1" s="1"/>
  <c r="V9" i="1"/>
  <c r="V26" i="1" s="1"/>
  <c r="U9" i="1"/>
  <c r="U26" i="1" s="1"/>
  <c r="T9" i="1"/>
  <c r="T26" i="1" s="1"/>
  <c r="S9" i="1"/>
  <c r="S26" i="1" s="1"/>
  <c r="R9" i="1"/>
  <c r="R26" i="1" s="1"/>
  <c r="Q9" i="1"/>
  <c r="Q26" i="1" s="1"/>
  <c r="P9" i="1"/>
  <c r="P26" i="1" s="1"/>
  <c r="O9" i="1"/>
  <c r="O26" i="1" s="1"/>
  <c r="N9" i="1"/>
  <c r="N26" i="1" s="1"/>
  <c r="B2" i="1"/>
  <c r="DK10" i="1" l="1"/>
  <c r="EM15" i="1"/>
  <c r="EO16" i="1"/>
  <c r="DK14" i="1"/>
  <c r="AW15" i="1"/>
  <c r="EP10" i="1"/>
  <c r="EP9" i="1" s="1"/>
  <c r="EP26" i="1" s="1"/>
  <c r="AI9" i="1"/>
  <c r="AI26" i="1" s="1"/>
  <c r="EH10" i="1"/>
  <c r="DT9" i="1"/>
  <c r="DT26" i="1" s="1"/>
  <c r="AN11" i="1"/>
  <c r="AN14" i="1"/>
  <c r="CM15" i="1"/>
  <c r="AX15" i="1" s="1"/>
  <c r="AX9" i="1" s="1"/>
  <c r="AX26" i="1" s="1"/>
  <c r="L15" i="1"/>
  <c r="L9" i="1" s="1"/>
  <c r="L26" i="1" s="1"/>
  <c r="DV16" i="1"/>
  <c r="AW21" i="1"/>
  <c r="CO21" i="1"/>
  <c r="AA15" i="1"/>
  <c r="EN15" i="1"/>
  <c r="EI12" i="1"/>
  <c r="AL9" i="1"/>
  <c r="AL26" i="1" s="1"/>
  <c r="EJ14" i="1"/>
  <c r="AW17" i="1"/>
  <c r="BE17" i="1" s="1"/>
  <c r="CO17" i="1"/>
  <c r="DV18" i="1"/>
  <c r="DU11" i="1"/>
  <c r="BQ11" i="1"/>
  <c r="DV14" i="1"/>
  <c r="EC10" i="1"/>
  <c r="EB10" i="1"/>
  <c r="CO11" i="1"/>
  <c r="DP11" i="1"/>
  <c r="EI11" i="1"/>
  <c r="EF9" i="1"/>
  <c r="EF26" i="1" s="1"/>
  <c r="CK12" i="1"/>
  <c r="EB14" i="1"/>
  <c r="ED14" i="1" s="1"/>
  <c r="EC14" i="1"/>
  <c r="M9" i="1"/>
  <c r="M26" i="1" s="1"/>
  <c r="BJ9" i="1"/>
  <c r="BJ26" i="1" s="1"/>
  <c r="BR13" i="1"/>
  <c r="BQ10" i="1"/>
  <c r="DG9" i="1"/>
  <c r="DG26" i="1" s="1"/>
  <c r="DH10" i="1"/>
  <c r="DH9" i="1" s="1"/>
  <c r="DH26" i="1" s="1"/>
  <c r="DU10" i="1"/>
  <c r="DU9" i="1" s="1"/>
  <c r="DU26" i="1" s="1"/>
  <c r="AW13" i="1"/>
  <c r="CO13" i="1"/>
  <c r="AW14" i="1"/>
  <c r="CO14" i="1"/>
  <c r="AE15" i="1"/>
  <c r="AJ15" i="1"/>
  <c r="AF15" i="1"/>
  <c r="DJ15" i="1"/>
  <c r="Z15" i="1"/>
  <c r="AH15" i="1"/>
  <c r="AG15" i="1"/>
  <c r="AD15" i="1"/>
  <c r="AD9" i="1" s="1"/>
  <c r="AD26" i="1" s="1"/>
  <c r="BR10" i="1"/>
  <c r="DV10" i="1"/>
  <c r="DL9" i="1"/>
  <c r="DL26" i="1" s="1"/>
  <c r="EB13" i="1"/>
  <c r="ED13" i="1" s="1"/>
  <c r="EC13" i="1"/>
  <c r="AN12" i="1"/>
  <c r="EJ12" i="1"/>
  <c r="AC15" i="1"/>
  <c r="EO22" i="1"/>
  <c r="ED19" i="1"/>
  <c r="DP10" i="1"/>
  <c r="DN9" i="1"/>
  <c r="DN26" i="1" s="1"/>
  <c r="BS11" i="1"/>
  <c r="BS9" i="1" s="1"/>
  <c r="BS26" i="1" s="1"/>
  <c r="DW11" i="1"/>
  <c r="DW9" i="1" s="1"/>
  <c r="DW26" i="1" s="1"/>
  <c r="DU13" i="1"/>
  <c r="BF9" i="1"/>
  <c r="BF26" i="1" s="1"/>
  <c r="DR9" i="1"/>
  <c r="DR26" i="1" s="1"/>
  <c r="DS11" i="1"/>
  <c r="DS9" i="1" s="1"/>
  <c r="DS26" i="1" s="1"/>
  <c r="CM12" i="1"/>
  <c r="AX12" i="1" s="1"/>
  <c r="DV17" i="1"/>
  <c r="DV12" i="1"/>
  <c r="BR12" i="1"/>
  <c r="BQ13" i="1"/>
  <c r="DP18" i="1"/>
  <c r="EB16" i="1"/>
  <c r="ED16" i="1" s="1"/>
  <c r="DV21" i="1"/>
  <c r="EH11" i="1"/>
  <c r="AH12" i="1"/>
  <c r="AH9" i="1" s="1"/>
  <c r="AH26" i="1" s="1"/>
  <c r="EN12" i="1"/>
  <c r="AA12" i="1"/>
  <c r="AJ12" i="1"/>
  <c r="AG14" i="1"/>
  <c r="EJ20" i="1"/>
  <c r="AN20" i="1"/>
  <c r="AG23" i="1"/>
  <c r="EC25" i="1"/>
  <c r="ED25" i="1" s="1"/>
  <c r="CM13" i="1"/>
  <c r="AX13" i="1" s="1"/>
  <c r="AE19" i="1"/>
  <c r="AA19" i="1"/>
  <c r="AJ19" i="1"/>
  <c r="DC9" i="1"/>
  <c r="DC26" i="1" s="1"/>
  <c r="CM19" i="1"/>
  <c r="AX19" i="1" s="1"/>
  <c r="L19" i="1"/>
  <c r="Z10" i="1"/>
  <c r="AG10" i="1"/>
  <c r="EJ10" i="1"/>
  <c r="AN24" i="1"/>
  <c r="EJ24" i="1"/>
  <c r="CM25" i="1"/>
  <c r="AX25" i="1" s="1"/>
  <c r="CK25" i="1"/>
  <c r="AM9" i="1"/>
  <c r="AM26" i="1" s="1"/>
  <c r="AA10" i="1"/>
  <c r="AN10" i="1"/>
  <c r="BP9" i="1"/>
  <c r="BP26" i="1" s="1"/>
  <c r="DX9" i="1"/>
  <c r="DX26" i="1" s="1"/>
  <c r="AC12" i="1"/>
  <c r="AC9" i="1" s="1"/>
  <c r="AC26" i="1" s="1"/>
  <c r="AG13" i="1"/>
  <c r="AB13" i="1"/>
  <c r="BE13" i="1" s="1"/>
  <c r="CM16" i="1"/>
  <c r="AX16" i="1" s="1"/>
  <c r="L16" i="1"/>
  <c r="AN16" i="1"/>
  <c r="EI17" i="1"/>
  <c r="CM18" i="1"/>
  <c r="AX18" i="1" s="1"/>
  <c r="L18" i="1"/>
  <c r="Z19" i="1"/>
  <c r="EJ19" i="1"/>
  <c r="AE20" i="1"/>
  <c r="EN20" i="1"/>
  <c r="EO20" i="1" s="1"/>
  <c r="AF20" i="1"/>
  <c r="AD20" i="1"/>
  <c r="AA20" i="1"/>
  <c r="AH20" i="1"/>
  <c r="EC20" i="1"/>
  <c r="ED20" i="1" s="1"/>
  <c r="CO22" i="1"/>
  <c r="DP22" i="1"/>
  <c r="EC22" i="1"/>
  <c r="ED22" i="1" s="1"/>
  <c r="EM13" i="1"/>
  <c r="AE16" i="1"/>
  <c r="AA16" i="1"/>
  <c r="AJ16" i="1"/>
  <c r="EJ17" i="1"/>
  <c r="AE18" i="1"/>
  <c r="AJ18" i="1"/>
  <c r="AF18" i="1"/>
  <c r="AF9" i="1" s="1"/>
  <c r="AF26" i="1" s="1"/>
  <c r="EM18" i="1"/>
  <c r="AE17" i="1"/>
  <c r="AF17" i="1"/>
  <c r="AA17" i="1"/>
  <c r="DJ18" i="1"/>
  <c r="EO18" i="1" s="1"/>
  <c r="EI21" i="1"/>
  <c r="EM23" i="1"/>
  <c r="EN19" i="1"/>
  <c r="EO19" i="1" s="1"/>
  <c r="CO20" i="1"/>
  <c r="AW23" i="1"/>
  <c r="CO23" i="1"/>
  <c r="CM24" i="1"/>
  <c r="AX24" i="1" s="1"/>
  <c r="CK24" i="1"/>
  <c r="AE14" i="1"/>
  <c r="AE9" i="1" s="1"/>
  <c r="AE26" i="1" s="1"/>
  <c r="AF14" i="1"/>
  <c r="AA14" i="1"/>
  <c r="CK19" i="1"/>
  <c r="AE23" i="1"/>
  <c r="EN23" i="1"/>
  <c r="AB23" i="1"/>
  <c r="AJ23" i="1"/>
  <c r="AF23" i="1"/>
  <c r="DJ23" i="1"/>
  <c r="AE24" i="1"/>
  <c r="EN24" i="1"/>
  <c r="AB24" i="1"/>
  <c r="AH24" i="1"/>
  <c r="AG24" i="1"/>
  <c r="AC24" i="1"/>
  <c r="AA24" i="1"/>
  <c r="AJ24" i="1"/>
  <c r="EN16" i="1"/>
  <c r="AC17" i="1"/>
  <c r="EN17" i="1"/>
  <c r="EO17" i="1" s="1"/>
  <c r="AC18" i="1"/>
  <c r="CK18" i="1"/>
  <c r="AG19" i="1"/>
  <c r="Z23" i="1"/>
  <c r="EH21" i="1"/>
  <c r="EJ21" i="1"/>
  <c r="AC23" i="1"/>
  <c r="BE23" i="1" s="1"/>
  <c r="DK23" i="1"/>
  <c r="DV23" i="1"/>
  <c r="DJ24" i="1"/>
  <c r="AE22" i="1"/>
  <c r="EN22" i="1"/>
  <c r="AB22" i="1"/>
  <c r="BE22" i="1" s="1"/>
  <c r="DP24" i="1"/>
  <c r="AE25" i="1"/>
  <c r="EN25" i="1"/>
  <c r="AB25" i="1"/>
  <c r="AB9" i="1" s="1"/>
  <c r="AB26" i="1" s="1"/>
  <c r="AN25" i="1"/>
  <c r="AH22" i="1"/>
  <c r="Z25" i="1"/>
  <c r="DV25" i="1"/>
  <c r="EJ25" i="1"/>
  <c r="DJ25" i="1"/>
  <c r="AE21" i="1"/>
  <c r="EN21" i="1"/>
  <c r="EO21" i="1" s="1"/>
  <c r="AB21" i="1"/>
  <c r="AN21" i="1"/>
  <c r="DJ11" i="1"/>
  <c r="EO11" i="1" s="1"/>
  <c r="AJ11" i="1"/>
  <c r="AJ9" i="1" s="1"/>
  <c r="AJ26" i="1" s="1"/>
  <c r="Z21" i="1"/>
  <c r="AF25" i="1"/>
  <c r="BL22" i="1" l="1"/>
  <c r="BM22" i="1" s="1"/>
  <c r="BN22" i="1" s="1"/>
  <c r="BO22" i="1" s="1"/>
  <c r="CG22" i="1" s="1"/>
  <c r="CH22" i="1" s="1"/>
  <c r="BL13" i="1"/>
  <c r="BM13" i="1" s="1"/>
  <c r="BN13" i="1" s="1"/>
  <c r="BO13" i="1" s="1"/>
  <c r="CG13" i="1" s="1"/>
  <c r="CH13" i="1" s="1"/>
  <c r="EM25" i="1"/>
  <c r="AA9" i="1"/>
  <c r="AA26" i="1" s="1"/>
  <c r="EN9" i="1"/>
  <c r="EN26" i="1" s="1"/>
  <c r="EO12" i="1"/>
  <c r="EM21" i="1"/>
  <c r="BE21" i="1"/>
  <c r="DV9" i="1"/>
  <c r="DV26" i="1" s="1"/>
  <c r="ED10" i="1"/>
  <c r="BE15" i="1"/>
  <c r="BE14" i="1"/>
  <c r="EM14" i="1"/>
  <c r="DK9" i="1"/>
  <c r="DK26" i="1" s="1"/>
  <c r="AW18" i="1"/>
  <c r="BE18" i="1" s="1"/>
  <c r="CO18" i="1"/>
  <c r="AW24" i="1"/>
  <c r="CO24" i="1"/>
  <c r="EO24" i="1"/>
  <c r="Z9" i="1"/>
  <c r="Z26" i="1" s="1"/>
  <c r="CM9" i="1"/>
  <c r="CM26" i="1" s="1"/>
  <c r="EM12" i="1"/>
  <c r="BQ9" i="1"/>
  <c r="BQ26" i="1" s="1"/>
  <c r="DJ9" i="1"/>
  <c r="DJ26" i="1" s="1"/>
  <c r="EC17" i="1"/>
  <c r="EB17" i="1"/>
  <c r="ED17" i="1" s="1"/>
  <c r="BL17" i="1"/>
  <c r="BM17" i="1" s="1"/>
  <c r="BN17" i="1" s="1"/>
  <c r="BO17" i="1" s="1"/>
  <c r="CG17" i="1" s="1"/>
  <c r="CH17" i="1" s="1"/>
  <c r="EO15" i="1"/>
  <c r="EI9" i="1"/>
  <c r="EI26" i="1" s="1"/>
  <c r="CO15" i="1"/>
  <c r="AW19" i="1"/>
  <c r="BE19" i="1" s="1"/>
  <c r="CO19" i="1"/>
  <c r="EM16" i="1"/>
  <c r="BE16" i="1"/>
  <c r="AW25" i="1"/>
  <c r="BE25" i="1" s="1"/>
  <c r="CO25" i="1"/>
  <c r="DP9" i="1"/>
  <c r="DP26" i="1" s="1"/>
  <c r="BR9" i="1"/>
  <c r="BR26" i="1" s="1"/>
  <c r="EJ9" i="1"/>
  <c r="EJ26" i="1" s="1"/>
  <c r="BL15" i="1"/>
  <c r="BM15" i="1" s="1"/>
  <c r="BN15" i="1" s="1"/>
  <c r="BO15" i="1" s="1"/>
  <c r="EC15" i="1"/>
  <c r="EB15" i="1"/>
  <c r="ED15" i="1" s="1"/>
  <c r="BE10" i="1"/>
  <c r="AN9" i="1"/>
  <c r="AN26" i="1" s="1"/>
  <c r="EM10" i="1"/>
  <c r="CO16" i="1"/>
  <c r="EB23" i="1"/>
  <c r="EC23" i="1"/>
  <c r="BL23" i="1"/>
  <c r="BM23" i="1" s="1"/>
  <c r="BN23" i="1" s="1"/>
  <c r="BO23" i="1" s="1"/>
  <c r="CG23" i="1" s="1"/>
  <c r="CH23" i="1" s="1"/>
  <c r="EM24" i="1"/>
  <c r="BE24" i="1"/>
  <c r="BL24" i="1" s="1"/>
  <c r="BM24" i="1" s="1"/>
  <c r="BN24" i="1" s="1"/>
  <c r="BO24" i="1" s="1"/>
  <c r="EM11" i="1"/>
  <c r="BE11" i="1"/>
  <c r="EB24" i="1"/>
  <c r="EC24" i="1"/>
  <c r="CK9" i="1"/>
  <c r="CK26" i="1" s="1"/>
  <c r="EO25" i="1"/>
  <c r="EO9" i="1" s="1"/>
  <c r="EO26" i="1" s="1"/>
  <c r="EH9" i="1"/>
  <c r="EH26" i="1" s="1"/>
  <c r="EC18" i="1"/>
  <c r="EC9" i="1" s="1"/>
  <c r="EC26" i="1" s="1"/>
  <c r="EB18" i="1"/>
  <c r="ED18" i="1" s="1"/>
  <c r="EO23" i="1"/>
  <c r="EB12" i="1"/>
  <c r="ED12" i="1" s="1"/>
  <c r="EC12" i="1"/>
  <c r="AG9" i="1"/>
  <c r="AG26" i="1" s="1"/>
  <c r="BE20" i="1"/>
  <c r="EM20" i="1"/>
  <c r="AW12" i="1"/>
  <c r="BE12" i="1" s="1"/>
  <c r="CO12" i="1"/>
  <c r="BL25" i="1" l="1"/>
  <c r="BM25" i="1" s="1"/>
  <c r="BN25" i="1" s="1"/>
  <c r="BO25" i="1" s="1"/>
  <c r="CG25" i="1" s="1"/>
  <c r="CH25" i="1" s="1"/>
  <c r="CG12" i="1"/>
  <c r="CH12" i="1" s="1"/>
  <c r="EE12" i="1"/>
  <c r="BL12" i="1"/>
  <c r="BM12" i="1" s="1"/>
  <c r="BN12" i="1" s="1"/>
  <c r="BO12" i="1" s="1"/>
  <c r="CG18" i="1"/>
  <c r="CH18" i="1" s="1"/>
  <c r="BL18" i="1"/>
  <c r="BM18" i="1" s="1"/>
  <c r="BN18" i="1" s="1"/>
  <c r="BO18" i="1" s="1"/>
  <c r="EM9" i="1"/>
  <c r="EM26" i="1" s="1"/>
  <c r="EE16" i="1"/>
  <c r="CG16" i="1"/>
  <c r="CH16" i="1" s="1"/>
  <c r="BL16" i="1"/>
  <c r="BM16" i="1" s="1"/>
  <c r="BN16" i="1" s="1"/>
  <c r="BO16" i="1" s="1"/>
  <c r="EE15" i="1"/>
  <c r="CG15" i="1"/>
  <c r="CH15" i="1" s="1"/>
  <c r="EE20" i="1"/>
  <c r="CG20" i="1"/>
  <c r="CH20" i="1" s="1"/>
  <c r="BL20" i="1"/>
  <c r="BM20" i="1" s="1"/>
  <c r="BN20" i="1" s="1"/>
  <c r="BO20" i="1" s="1"/>
  <c r="EB9" i="1"/>
  <c r="EB26" i="1" s="1"/>
  <c r="EE13" i="1"/>
  <c r="BE9" i="1"/>
  <c r="BE26" i="1" s="1"/>
  <c r="BL10" i="1"/>
  <c r="EE10" i="1" s="1"/>
  <c r="BL14" i="1"/>
  <c r="BM14" i="1" s="1"/>
  <c r="BN14" i="1" s="1"/>
  <c r="BO14" i="1" s="1"/>
  <c r="CG14" i="1" s="1"/>
  <c r="CH14" i="1" s="1"/>
  <c r="ED24" i="1"/>
  <c r="BL19" i="1"/>
  <c r="BM19" i="1" s="1"/>
  <c r="BN19" i="1" s="1"/>
  <c r="BO19" i="1" s="1"/>
  <c r="CG19" i="1" s="1"/>
  <c r="CH19" i="1" s="1"/>
  <c r="AW9" i="1"/>
  <c r="AW26" i="1" s="1"/>
  <c r="BL11" i="1"/>
  <c r="BM11" i="1" s="1"/>
  <c r="BN11" i="1" s="1"/>
  <c r="BO11" i="1" s="1"/>
  <c r="CG11" i="1" s="1"/>
  <c r="CH11" i="1" s="1"/>
  <c r="BL21" i="1"/>
  <c r="BM21" i="1" s="1"/>
  <c r="BN21" i="1" s="1"/>
  <c r="BO21" i="1" s="1"/>
  <c r="CG21" i="1" s="1"/>
  <c r="CH21" i="1" s="1"/>
  <c r="EE22" i="1"/>
  <c r="EE24" i="1"/>
  <c r="CG24" i="1"/>
  <c r="CH24" i="1" s="1"/>
  <c r="EE17" i="1"/>
  <c r="CO9" i="1"/>
  <c r="CO26" i="1" s="1"/>
  <c r="ED23" i="1"/>
  <c r="ED9" i="1" s="1"/>
  <c r="ED26" i="1" s="1"/>
  <c r="EE23" i="1"/>
  <c r="EE11" i="1" l="1"/>
  <c r="EE9" i="1" s="1"/>
  <c r="EE26" i="1" s="1"/>
  <c r="BM10" i="1"/>
  <c r="BL9" i="1"/>
  <c r="BL26" i="1" s="1"/>
  <c r="EE18" i="1"/>
  <c r="EE19" i="1"/>
  <c r="EE14" i="1"/>
  <c r="EE21" i="1"/>
  <c r="EE25" i="1"/>
  <c r="BN10" i="1" l="1"/>
  <c r="BM9" i="1"/>
  <c r="BM26" i="1" s="1"/>
  <c r="BN9" i="1" l="1"/>
  <c r="BN26" i="1" s="1"/>
  <c r="BO10" i="1"/>
  <c r="BO9" i="1" l="1"/>
  <c r="BO26" i="1" s="1"/>
  <c r="CG10" i="1"/>
  <c r="CH10" i="1" l="1"/>
  <c r="CH9" i="1" s="1"/>
  <c r="CH26" i="1" s="1"/>
  <c r="CG9" i="1"/>
  <c r="CG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tc={E25BF483-064B-452C-9B78-38D317BDD73F}</author>
    <author>phamloan</author>
    <author>tc={3817F199-46E9-413B-BCFF-BC3B85AEC514}</author>
    <author>tc={61098F76-03D1-4CA8-A2E5-FE60C529073E}</author>
    <author>tc={9AD9C718-3CD0-46C1-BA02-9DCF87D69B33}</author>
    <author>tc={42C294C3-BAF2-4836-AF06-DDDAB96A5A85}</author>
    <author>tc={5E1C3EEA-40D6-46BF-9881-94DD9FADC12A}</author>
    <author>Le Thom</author>
  </authors>
  <commentList>
    <comment ref="CV3" authorId="0" shapeId="0" xr:uid="{E25BF483-064B-452C-9B78-38D317BDD73F}">
      <text>
        <t>[Threaded comment]
Your version of Excel allows you to read this threaded comment; however, any edits to it will get removed if the file is opened in a newer version of Excel. Learn more: https://go.microsoft.com/fwlink/?linkid=870924
Comment:
    Ngày cuối tháng tính lương</t>
      </text>
    </comment>
    <comment ref="CW3" authorId="1" shapeId="0" xr:uid="{26F8A1A9-6CA4-4EFE-A72E-F90AF589A0E3}">
      <text>
        <r>
          <rPr>
            <b/>
            <sz val="9"/>
            <color indexed="81"/>
            <rFont val="Tahoma"/>
            <family val="2"/>
          </rPr>
          <t>phamloan:</t>
        </r>
        <r>
          <rPr>
            <sz val="9"/>
            <color indexed="81"/>
            <rFont val="Tahoma"/>
            <family val="2"/>
          </rPr>
          <t xml:space="preserve">
Số ngày tháng tính lương: từ 01-31</t>
        </r>
      </text>
    </comment>
    <comment ref="EB3" authorId="1" shapeId="0" xr:uid="{E775C0C1-EEB4-447F-A178-67A889F4D6CA}">
      <text>
        <r>
          <rPr>
            <b/>
            <sz val="9"/>
            <color indexed="81"/>
            <rFont val="Tahoma"/>
            <family val="2"/>
          </rPr>
          <t>phamloan:</t>
        </r>
        <r>
          <rPr>
            <sz val="9"/>
            <color indexed="81"/>
            <rFont val="Tahoma"/>
            <family val="2"/>
          </rPr>
          <t xml:space="preserve">
Ngày để tính 21.5% tính từ 26-31</t>
        </r>
      </text>
    </comment>
    <comment ref="CR6" authorId="2" shapeId="0" xr:uid="{3817F199-46E9-413B-BCFF-BC3B85AEC514}">
      <text>
        <t>[Threaded comment]
Your version of Excel allows you to read this threaded comment; however, any edits to it will get removed if the file is opened in a newer version of Excel. Learn more: https://go.microsoft.com/fwlink/?linkid=870924
Comment:
    Ngày 15 hàng tháng</t>
      </text>
    </comment>
    <comment ref="L7" authorId="3" shapeId="0" xr:uid="{61098F76-03D1-4CA8-A2E5-FE60C529073E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01/07/2026:
Lương cơ bản: 2.530.000
Lương tối thiểu vùng III: 4.140.000
Lương đóng BHXH max: 50.600.000</t>
      </text>
    </comment>
    <comment ref="AV7" authorId="4" shapeId="0" xr:uid="{9AD9C718-3CD0-46C1-BA02-9DCF87D69B33}">
      <text>
        <t>[Threaded comment]
Your version of Excel allows you to read this threaded comment; however, any edits to it will get removed if the file is opened in a newer version of Excel. Learn more: https://go.microsoft.com/fwlink/?linkid=870924
Comment:
    Xét trường hợp chưa được ký BHXH trong tháng tính lương: Tính từ 01-31 nếu NLĐ nghỉ từ 14 ngày trở lên thì sẽ không được nhận (giống như xét để đóng BHXH)</t>
      </text>
    </comment>
    <comment ref="BN7" authorId="5" shapeId="0" xr:uid="{42C294C3-BAF2-4836-AF06-DDDAB96A5A85}">
      <text>
        <t>[Threaded comment]
Your version of Excel allows you to read this threaded comment; however, any edits to it will get removed if the file is opened in a newer version of Excel. Learn more: https://go.microsoft.com/fwlink/?linkid=870924
Comment:
    1. Thử việc, nghỉ việc: 10% TNCT đầu nguồn
2. Chính thức: Lũy tiến
Riêng PC nhà ở sẽ tính xét với 15% TNCT chưa tính phụ cấp nhà ở</t>
      </text>
    </comment>
    <comment ref="BW7" authorId="6" shapeId="0" xr:uid="{5E1C3EEA-40D6-46BF-9881-94DD9FADC12A}">
      <text>
        <t>[Threaded comment]
Your version of Excel allows you to read this threaded comment; however, any edits to it will get removed if the file is opened in a newer version of Excel. Learn more: https://go.microsoft.com/fwlink/?linkid=870924
Comment:
    Điều kiện: OT trên 4 giờ</t>
      </text>
    </comment>
    <comment ref="CH7" authorId="7" shapeId="0" xr:uid="{1BF3C5E9-EFB6-4E95-ADC9-D7B432810997}">
      <text>
        <r>
          <rPr>
            <b/>
            <sz val="20"/>
            <color indexed="81"/>
            <rFont val="Tahoma"/>
            <family val="2"/>
          </rPr>
          <t>Le Thom:</t>
        </r>
        <r>
          <rPr>
            <sz val="20"/>
            <color indexed="81"/>
            <rFont val="Tahoma"/>
            <family val="2"/>
          </rPr>
          <t xml:space="preserve">
37=25+(1*22,5%)+(2*1%)</t>
        </r>
      </text>
    </comment>
    <comment ref="EH7" authorId="7" shapeId="0" xr:uid="{322EE1DD-0262-415E-93AA-7D97944B2A9F}">
      <text>
        <r>
          <rPr>
            <b/>
            <sz val="9"/>
            <color indexed="81"/>
            <rFont val="Tahoma"/>
            <family val="2"/>
          </rPr>
          <t>Le Thom: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ahoma"/>
            <family val="2"/>
          </rPr>
          <t>21=(3+4+5)/208*20</t>
        </r>
      </text>
    </comment>
  </commentList>
</comments>
</file>

<file path=xl/sharedStrings.xml><?xml version="1.0" encoding="utf-8"?>
<sst xmlns="http://schemas.openxmlformats.org/spreadsheetml/2006/main" count="395" uniqueCount="282">
  <si>
    <t xml:space="preserve">EMPLOYEE PAYROLL SHEET/ BẢNG LƯƠNG NHÂN VIÊN </t>
  </si>
  <si>
    <t>- Số công quy định trong tháng/ Standard working days:</t>
  </si>
  <si>
    <t>Ngày công tháng trước</t>
  </si>
  <si>
    <t>No./ STT</t>
  </si>
  <si>
    <t>Employee ID/ Mã NV</t>
  </si>
  <si>
    <t>Full name/
Họ tên</t>
  </si>
  <si>
    <t xml:space="preserve">Contract style/ Loại hợp đồng
</t>
  </si>
  <si>
    <t>Accounting code</t>
  </si>
  <si>
    <t>Direct/ Indirect</t>
  </si>
  <si>
    <t>Line/ Chuyền</t>
  </si>
  <si>
    <t>Section/ Bộ phận</t>
  </si>
  <si>
    <t>Position/Chức vụ</t>
  </si>
  <si>
    <t>Salary for SI &amp; HI
Lương đóng BHXH,BHYT</t>
  </si>
  <si>
    <t>Salary for UI/
Lương đóng BHTN</t>
  </si>
  <si>
    <t>Salary in Labour Contract</t>
  </si>
  <si>
    <t>Actual Salary in the Month</t>
  </si>
  <si>
    <t>Overtime Salary/Lương ngoài giờ</t>
  </si>
  <si>
    <t xml:space="preserve">Lucky money/ Lì xì 2026
</t>
  </si>
  <si>
    <t xml:space="preserve">Tet bonus/ Thưởng Tết
</t>
  </si>
  <si>
    <t xml:space="preserve">Special bonus/ Thưởng đặc biệt
</t>
  </si>
  <si>
    <t>Shift working support/ Tiền hỗ trợ làm ca</t>
  </si>
  <si>
    <t>Children support/ Hỗ trợ con nhỏ</t>
  </si>
  <si>
    <t>Process company supporting/ Hỗ trợ công ty gia công</t>
  </si>
  <si>
    <t>Fire fighting training allowance/ Phụ cấp tham gia huấn luyện PCCC</t>
  </si>
  <si>
    <t>21,5% SI paid by Company during probation</t>
  </si>
  <si>
    <t>Annual leave payment
Thanh toán phép năm</t>
  </si>
  <si>
    <t>Menstrual allowance
Trợ cấp kinh nguyệt</t>
  </si>
  <si>
    <t>Adjustment for previous month/
ĐC lương tháng trước</t>
  </si>
  <si>
    <t xml:space="preserve">KPIs bonus/ Thưởng đánh giá kết quả làm việc
</t>
  </si>
  <si>
    <t>Commuting supporting
Hỗ trợ xăng xe</t>
  </si>
  <si>
    <t>Gross salary/
Tổng tiền lương</t>
  </si>
  <si>
    <t>Self reduction/
GT cá nhân</t>
  </si>
  <si>
    <t>Dependant(s) Reduction/
GTGC</t>
  </si>
  <si>
    <t>Deductions/Khác khoảng khấu trừ lương</t>
  </si>
  <si>
    <t>Company/ Doanh nghiệp</t>
  </si>
  <si>
    <t>Paid Lucky money/ Lì xì 2025 đã trả</t>
  </si>
  <si>
    <t>YEP 2024 gifts paid/ Quà tiệc tất niên 2024 đã trả</t>
  </si>
  <si>
    <t xml:space="preserve">Paid YEP 2026 support/ Hỗ trợ tiệc tất niên 2026 đã trả
</t>
  </si>
  <si>
    <t xml:space="preserve">Sunday meal support/ Tiền cơm chủ nhật </t>
  </si>
  <si>
    <t>Salary advance/ Tạm ứng lương</t>
  </si>
  <si>
    <t>Marriage gift/ Quà kết hôn</t>
  </si>
  <si>
    <t>PIT Finalization/ Quyết toán thuế</t>
  </si>
  <si>
    <t>Severance allowance/ Trợ cấp thôi việc</t>
  </si>
  <si>
    <t>Employee' contract compensation/ Tiền bồi thường hợp đồng của người lao động</t>
  </si>
  <si>
    <t>Net Salary/
Lương thực nhận</t>
  </si>
  <si>
    <t>Cost to company</t>
  </si>
  <si>
    <t>Tet bonus estimation</t>
  </si>
  <si>
    <t>Ngày phép năm còn</t>
  </si>
  <si>
    <t>Giờ kinh nguyệt</t>
  </si>
  <si>
    <t>Chênh lệch lương tháng trước</t>
  </si>
  <si>
    <t>Thanh lý hợp đồng</t>
  </si>
  <si>
    <t>Nhập</t>
  </si>
  <si>
    <t>Basic salary in labour contract/Lương trên HĐLĐ</t>
  </si>
  <si>
    <t>Technical allowance/Phụ cấp kỹ thuật</t>
  </si>
  <si>
    <t>Position allowance/Phụ cấp chức vụ</t>
  </si>
  <si>
    <t>Accomodation Allowance/Phụ cấp nhà ở</t>
  </si>
  <si>
    <t>Commuting allowance
Phụ cấp xăng xe</t>
  </si>
  <si>
    <t>Phone allowance
Phụ cấp điện thoại</t>
  </si>
  <si>
    <t>Fire prevention and fighting allowance/Phụ cấp phòng cháy và chữa cháy:</t>
  </si>
  <si>
    <t>Safety and hygiene allowance/Phụ cấp an toàn vệ sinh viên</t>
  </si>
  <si>
    <t>Supporting stages allowance/Phụ cấp hỗ trợ công đoạn:</t>
  </si>
  <si>
    <t>Attendance incentive/Thưởng Chuyên cần</t>
  </si>
  <si>
    <t>Responsibility incentive
Thưởng trách nhiệm</t>
  </si>
  <si>
    <t>Working days/ Ngày công</t>
  </si>
  <si>
    <t>Basic salary in labour contract/Lương cơ bản</t>
  </si>
  <si>
    <t>Position allowance/
Phụ cấp chức vụ</t>
  </si>
  <si>
    <t>Accomodation Allowance/
Phụ cấp nhà ở</t>
  </si>
  <si>
    <t>Commuting bus
Phụ cấp xăng xe</t>
  </si>
  <si>
    <t>Phone
Phụ cấp điện thoại</t>
  </si>
  <si>
    <t>Attendance incentive/
Thưởng Chuyên cần</t>
  </si>
  <si>
    <t>Work hour/Giờ làm</t>
  </si>
  <si>
    <t>100%</t>
  </si>
  <si>
    <t>Vượt 100%</t>
  </si>
  <si>
    <t>Total/
Tổng tiền</t>
  </si>
  <si>
    <t>Social Insurance/
BHXH(8%)</t>
  </si>
  <si>
    <t>Health Insurance/
BHYT (1.5%)</t>
  </si>
  <si>
    <t>Unemployment Insurance/
BHTN (1%)</t>
  </si>
  <si>
    <t>Union/ Công đoàn</t>
  </si>
  <si>
    <t>Taxable income/
Thu nhập chịu thuế</t>
  </si>
  <si>
    <t>Assessable income/Thu nhập tính thuế của NV</t>
  </si>
  <si>
    <t>PIT/
Thuế thu nhập</t>
  </si>
  <si>
    <t>Total deductions/
Tổng khấu trừ</t>
  </si>
  <si>
    <t>Social Insurance/
BHXH (17,5%)</t>
  </si>
  <si>
    <t>Health Insurance/
BHYT (3%)</t>
  </si>
  <si>
    <t>Union Fund/ KPCĐ (2%)</t>
  </si>
  <si>
    <t>Số ngày</t>
  </si>
  <si>
    <t>Số tiền</t>
  </si>
  <si>
    <t>Số giờ</t>
  </si>
  <si>
    <t>Chưa đóng BHXH</t>
  </si>
  <si>
    <t>Chưa kí HĐ Chính thức đến ngày 25</t>
  </si>
  <si>
    <t>Chi khác ngoài bảng lương</t>
  </si>
  <si>
    <t>Làm việc &lt;5 ngày</t>
  </si>
  <si>
    <t>Làm CN &lt;=4h/ ngày (x)</t>
  </si>
  <si>
    <t>Số ngày nghỉ bù làm CN</t>
  </si>
  <si>
    <t xml:space="preserve">Đi trễ &amp; về sớm </t>
  </si>
  <si>
    <t>Tiền trừ đi trễ về sớm</t>
  </si>
  <si>
    <t>Nghỉ không lương + Ốm + Con ốm</t>
  </si>
  <si>
    <t>Tiền trừ không lương</t>
  </si>
  <si>
    <t>Nghỉ Thai sản + Dưỡng sức</t>
  </si>
  <si>
    <t>Tiền CC tính theo thực tế</t>
  </si>
  <si>
    <t>Tổng trừ CC</t>
  </si>
  <si>
    <t>Ốm hưởng BHXH May</t>
  </si>
  <si>
    <t>CO hưởng BHXH May</t>
  </si>
  <si>
    <t>Tổng ngày nghỉ hưởng BHXH May</t>
  </si>
  <si>
    <t>Tổng nghỉ KL May</t>
  </si>
  <si>
    <t>Tổng nghỉ BHXH và KL May</t>
  </si>
  <si>
    <t>Tổng nghỉ ko đóng BH</t>
  </si>
  <si>
    <t>Khám thai</t>
  </si>
  <si>
    <t>Tiền CC khám thai</t>
  </si>
  <si>
    <t>BHXH</t>
  </si>
  <si>
    <t>BHYT</t>
  </si>
  <si>
    <t>BHTN</t>
  </si>
  <si>
    <t>Kinh phí CĐ</t>
  </si>
  <si>
    <t>Tổng lương</t>
  </si>
  <si>
    <t>Phụ cấp</t>
  </si>
  <si>
    <t>Thưởng</t>
  </si>
  <si>
    <t>NKL</t>
  </si>
  <si>
    <t>Check PIT Nhà ở</t>
  </si>
  <si>
    <t>Check OT</t>
  </si>
  <si>
    <t xml:space="preserve"> </t>
  </si>
  <si>
    <t>Tên</t>
  </si>
  <si>
    <t>Loại</t>
  </si>
  <si>
    <t>Phân loại</t>
  </si>
  <si>
    <t>Chuyền</t>
  </si>
  <si>
    <t>Bộ phận</t>
  </si>
  <si>
    <t>Chức vụ</t>
  </si>
  <si>
    <t>CB</t>
  </si>
  <si>
    <t>KT</t>
  </si>
  <si>
    <t>CV</t>
  </si>
  <si>
    <t>NO</t>
  </si>
  <si>
    <t>XX</t>
  </si>
  <si>
    <t>ĐT</t>
  </si>
  <si>
    <t>PCCC</t>
  </si>
  <si>
    <t>ATVSTP</t>
  </si>
  <si>
    <t>HTCD</t>
  </si>
  <si>
    <t>CC</t>
  </si>
  <si>
    <t>TN</t>
  </si>
  <si>
    <t>Ngày công</t>
  </si>
  <si>
    <t>CB-TT</t>
  </si>
  <si>
    <t>KT-TT</t>
  </si>
  <si>
    <t>CV-TT</t>
  </si>
  <si>
    <t>NO-TT</t>
  </si>
  <si>
    <t>XX-TT</t>
  </si>
  <si>
    <t>DT-TT</t>
  </si>
  <si>
    <t>CC-TT</t>
  </si>
  <si>
    <t>TN-TT</t>
  </si>
  <si>
    <t>Giờ OT</t>
  </si>
  <si>
    <t>Vuot 100%</t>
  </si>
  <si>
    <t>OT</t>
  </si>
  <si>
    <t xml:space="preserve">Lucky
</t>
  </si>
  <si>
    <t xml:space="preserve">Tet bonus
</t>
  </si>
  <si>
    <t xml:space="preserve">Special bonus
</t>
  </si>
  <si>
    <t>Shift work</t>
  </si>
  <si>
    <t>Child</t>
  </si>
  <si>
    <t>Process</t>
  </si>
  <si>
    <t>TL</t>
  </si>
  <si>
    <t>KN</t>
  </si>
  <si>
    <t>Đ/c lương tháng trc</t>
  </si>
  <si>
    <t xml:space="preserve">KPI
</t>
  </si>
  <si>
    <t>100K XX</t>
  </si>
  <si>
    <t>Tổng tiền lương</t>
  </si>
  <si>
    <t>GT cá nhân</t>
  </si>
  <si>
    <t>GTGC</t>
  </si>
  <si>
    <t>BHXH 8%</t>
  </si>
  <si>
    <t>BHYT 1,5%</t>
  </si>
  <si>
    <t>BHTN 1%</t>
  </si>
  <si>
    <t>CĐ</t>
  </si>
  <si>
    <t>TN chịu thuế</t>
  </si>
  <si>
    <t>TN tính thuế</t>
  </si>
  <si>
    <t>PIT</t>
  </si>
  <si>
    <t xml:space="preserve">Tổng khấu trừ </t>
  </si>
  <si>
    <t>BHXH 17.5%</t>
  </si>
  <si>
    <t>BHYT 3%</t>
  </si>
  <si>
    <t>KPCD 2%</t>
  </si>
  <si>
    <t>Lucky paid</t>
  </si>
  <si>
    <t>YEP paid</t>
  </si>
  <si>
    <t xml:space="preserve">YEP support paid
</t>
  </si>
  <si>
    <t xml:space="preserve">Sunday meal </t>
  </si>
  <si>
    <t>TU</t>
  </si>
  <si>
    <t>Quà KH</t>
  </si>
  <si>
    <t>QTT</t>
  </si>
  <si>
    <t>TCTV</t>
  </si>
  <si>
    <t>BTHD</t>
  </si>
  <si>
    <t>Lương thực nhận</t>
  </si>
  <si>
    <t>Tiền phép năm</t>
  </si>
  <si>
    <t>Giờ KN</t>
  </si>
  <si>
    <t>Tiền KN</t>
  </si>
  <si>
    <t>Ngày vào làm</t>
  </si>
  <si>
    <t>Ngày kí HĐ</t>
  </si>
  <si>
    <t xml:space="preserve">Nghĩ việc </t>
  </si>
  <si>
    <t>Nghỉ thai sản</t>
  </si>
  <si>
    <t>Thai sản đi làm lại</t>
  </si>
  <si>
    <t>Tự ý bỏ việc</t>
  </si>
  <si>
    <t>Xét tính 21.5% (x) - Chưa đóng BHXH</t>
  </si>
  <si>
    <t>Thử việc (x)</t>
  </si>
  <si>
    <t>Giỏ quà tết 02/02/2026</t>
  </si>
  <si>
    <t>Lì xì Tết 25/02/2026</t>
  </si>
  <si>
    <t>15% TNCT</t>
  </si>
  <si>
    <t>PC Nhà ở</t>
  </si>
  <si>
    <t>Chênh lệch</t>
  </si>
  <si>
    <t>Check 15%</t>
  </si>
  <si>
    <t>Chịu thuế</t>
  </si>
  <si>
    <t>Không chịu thuế</t>
  </si>
  <si>
    <t>Check OT Tax</t>
  </si>
  <si>
    <t>OT150</t>
  </si>
  <si>
    <t>OT200</t>
  </si>
  <si>
    <t>GAP OT</t>
  </si>
  <si>
    <t>Check</t>
  </si>
  <si>
    <t>Số người phụ  thuộc</t>
  </si>
  <si>
    <t xml:space="preserve">I. Management </t>
  </si>
  <si>
    <t>II. Production</t>
  </si>
  <si>
    <t>TIQN-1457</t>
  </si>
  <si>
    <t>Nguyễn Thị Thu Nhi</t>
  </si>
  <si>
    <t>Sewing</t>
  </si>
  <si>
    <t>Direct</t>
  </si>
  <si>
    <t>Line 11</t>
  </si>
  <si>
    <t>Sewing worker</t>
  </si>
  <si>
    <t>TIQN-1654</t>
  </si>
  <si>
    <t>Đào Thị Bích Chương</t>
  </si>
  <si>
    <t>Preparation</t>
  </si>
  <si>
    <t>Indirect</t>
  </si>
  <si>
    <t>2nd Process</t>
  </si>
  <si>
    <t>Supporting worker</t>
  </si>
  <si>
    <t>TIQN-1663</t>
  </si>
  <si>
    <t>Nguyễn Thị Hương</t>
  </si>
  <si>
    <t>Line 15</t>
  </si>
  <si>
    <t>x</t>
  </si>
  <si>
    <t>TIQN-2062</t>
  </si>
  <si>
    <t>Mai Thị Tú Nhi</t>
  </si>
  <si>
    <t>Line 02</t>
  </si>
  <si>
    <t>TIQN-2181</t>
  </si>
  <si>
    <t>Ngô Minh Vinh</t>
  </si>
  <si>
    <t>TIQN-2192</t>
  </si>
  <si>
    <t>Nguyễn Thị Hiền</t>
  </si>
  <si>
    <t>Supporting line</t>
  </si>
  <si>
    <t>TIQN-2208</t>
  </si>
  <si>
    <t>Trương Thế Trọng</t>
  </si>
  <si>
    <t>TIQN-2219</t>
  </si>
  <si>
    <t>Trần Văn Anh</t>
  </si>
  <si>
    <t>Line 17</t>
  </si>
  <si>
    <t>TIQN-2231</t>
  </si>
  <si>
    <t>Nguyễn Văn Vũ</t>
  </si>
  <si>
    <t>TIQN-2236</t>
  </si>
  <si>
    <t>Nguyễn Thị Thu Hằng</t>
  </si>
  <si>
    <t>Line 01</t>
  </si>
  <si>
    <t>TIQN-2247</t>
  </si>
  <si>
    <t>Trần Văn Viên</t>
  </si>
  <si>
    <t>Cutting</t>
  </si>
  <si>
    <t>Cutter-Trainee</t>
  </si>
  <si>
    <t>TIQN-2249</t>
  </si>
  <si>
    <t>Phạm Văn Hưng</t>
  </si>
  <si>
    <t>Line 10</t>
  </si>
  <si>
    <t>TIQN-2250</t>
  </si>
  <si>
    <t>Nguyễn Đức Anh Toàn</t>
  </si>
  <si>
    <t>Warehouse</t>
  </si>
  <si>
    <t>Logistics</t>
  </si>
  <si>
    <t>Warehouse worker</t>
  </si>
  <si>
    <t>TIQN-2257</t>
  </si>
  <si>
    <t>Nguyễn Thị Thu Nhị</t>
  </si>
  <si>
    <t>QA-QC</t>
  </si>
  <si>
    <t>QC</t>
  </si>
  <si>
    <t>QC worker</t>
  </si>
  <si>
    <t>TIQN-2268</t>
  </si>
  <si>
    <t>Phạm Thị Lan</t>
  </si>
  <si>
    <t>Line technic</t>
  </si>
  <si>
    <t>Line Technic</t>
  </si>
  <si>
    <t>Technical &amp; Develop</t>
  </si>
  <si>
    <t>Technical staff</t>
  </si>
  <si>
    <t>TIQN-2280</t>
  </si>
  <si>
    <t>Phạm Thị Thu Hiền</t>
  </si>
  <si>
    <t>Total</t>
  </si>
  <si>
    <t>Quang Ngai, 09 Jul 2026</t>
  </si>
  <si>
    <t>Quảng Ngãi, ngày 09 tháng 07 năm 2026</t>
  </si>
  <si>
    <t>Prepared by</t>
  </si>
  <si>
    <t>Verified by</t>
  </si>
  <si>
    <t>Approved by</t>
  </si>
  <si>
    <t>C&amp;B Executive</t>
  </si>
  <si>
    <t>Office Department Manager</t>
  </si>
  <si>
    <t>Head of Branch</t>
  </si>
  <si>
    <t>Phạm Thị Kim Loan</t>
  </si>
  <si>
    <t>Nguyễn Thị Yến Ni</t>
  </si>
  <si>
    <t>KITAJIMA MOTOHARU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</si>
</sst>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* #,##0_);_(* \(#,##0\);_(* &quot;-&quot;?_);_(@_)"/>
  </numFmts>
  <fonts count="21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8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b/>
      <i/>
      <sz val="8"/>
      <name val="Times New Roman"/>
      <family val="1"/>
    </font>
    <font>
      <b/>
      <sz val="8"/>
      <color rgb="FFFF0000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25"/>
      <name val="Times New Roman"/>
      <family val="1"/>
    </font>
    <font>
      <sz val="11"/>
      <name val="Times New Roman"/>
      <family val="1"/>
    </font>
    <font>
      <sz val="2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sz val="15"/>
      <color indexed="81"/>
      <name val="Tahoma"/>
      <family val="2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0">
    <xf numFmtId="0" fontId="0" fillId="0" borderId="0" xfId="0"/>
    <xf numFmtId="0" fontId="2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4" fontId="2" fillId="2" borderId="0" xfId="1" applyNumberFormat="1" applyFont="1" applyFill="1" applyAlignment="1" applyProtection="1">
      <alignment vertical="center"/>
      <protection hidden="1"/>
    </xf>
    <xf numFmtId="14" fontId="2" fillId="2" borderId="0" xfId="0" applyNumberFormat="1" applyFont="1" applyFill="1" applyAlignment="1" applyProtection="1">
      <alignment vertical="center"/>
      <protection hidden="1"/>
    </xf>
    <xf numFmtId="165" fontId="2" fillId="2" borderId="0" xfId="1" applyNumberFormat="1" applyFont="1" applyFill="1" applyAlignment="1" applyProtection="1">
      <alignment vertical="center"/>
      <protection hidden="1"/>
    </xf>
    <xf numFmtId="0" fontId="4" fillId="2" borderId="0" xfId="0" applyFont="1" applyFill="1" applyAlignment="1">
      <alignment horizontal="center" vertical="center"/>
    </xf>
    <xf numFmtId="0" fontId="5" fillId="2" borderId="0" xfId="0" quotePrefix="1" applyFont="1" applyFill="1" applyAlignment="1" applyProtection="1">
      <alignment horizontal="left" vertical="center"/>
      <protection hidden="1"/>
    </xf>
    <xf numFmtId="0" fontId="5" fillId="2" borderId="0" xfId="0" quotePrefix="1" applyFont="1" applyFill="1" applyAlignment="1" applyProtection="1">
      <alignment horizontal="left" vertical="center" wrapText="1"/>
      <protection hidden="1"/>
    </xf>
    <xf numFmtId="0" fontId="5" fillId="2" borderId="0" xfId="0" applyFont="1" applyFill="1" applyAlignment="1" applyProtection="1">
      <alignment horizontal="center" vertical="center" wrapText="1"/>
      <protection hidden="1"/>
    </xf>
    <xf numFmtId="165" fontId="2" fillId="2" borderId="0" xfId="1" applyNumberFormat="1" applyFont="1" applyFill="1" applyAlignment="1" applyProtection="1">
      <alignment horizontal="centerContinuous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Continuous" vertical="center"/>
      <protection hidden="1"/>
    </xf>
    <xf numFmtId="164" fontId="2" fillId="2" borderId="0" xfId="1" applyNumberFormat="1" applyFont="1" applyFill="1" applyAlignment="1" applyProtection="1">
      <alignment horizontal="centerContinuous" vertical="center"/>
      <protection hidden="1"/>
    </xf>
    <xf numFmtId="165" fontId="2" fillId="2" borderId="0" xfId="0" applyNumberFormat="1" applyFont="1" applyFill="1" applyAlignment="1" applyProtection="1">
      <alignment horizontal="left" vertical="center"/>
      <protection hidden="1"/>
    </xf>
    <xf numFmtId="1" fontId="2" fillId="0" borderId="0" xfId="0" applyNumberFormat="1" applyFont="1" applyAlignment="1" applyProtection="1">
      <alignment horizontal="centerContinuous" vertical="center"/>
      <protection hidden="1"/>
    </xf>
    <xf numFmtId="165" fontId="2" fillId="2" borderId="0" xfId="0" applyNumberFormat="1" applyFont="1" applyFill="1" applyAlignment="1" applyProtection="1">
      <alignment horizontal="center" vertical="center"/>
      <protection hidden="1"/>
    </xf>
    <xf numFmtId="165" fontId="2" fillId="2" borderId="0" xfId="0" applyNumberFormat="1" applyFont="1" applyFill="1" applyAlignment="1" applyProtection="1">
      <alignment horizontal="centerContinuous" vertical="center"/>
      <protection hidden="1"/>
    </xf>
    <xf numFmtId="14" fontId="6" fillId="2" borderId="0" xfId="0" applyNumberFormat="1" applyFont="1" applyFill="1" applyAlignment="1" applyProtection="1">
      <alignment vertical="center"/>
      <protection hidden="1"/>
    </xf>
    <xf numFmtId="1" fontId="7" fillId="2" borderId="0" xfId="0" applyNumberFormat="1" applyFont="1" applyFill="1" applyAlignment="1" applyProtection="1">
      <alignment vertical="center"/>
      <protection hidden="1"/>
    </xf>
    <xf numFmtId="165" fontId="7" fillId="2" borderId="0" xfId="1" applyNumberFormat="1" applyFont="1" applyFill="1" applyAlignment="1" applyProtection="1">
      <alignment vertical="center"/>
      <protection hidden="1"/>
    </xf>
    <xf numFmtId="0" fontId="5" fillId="2" borderId="0" xfId="0" quotePrefix="1" applyFont="1" applyFill="1" applyAlignment="1" applyProtection="1">
      <alignment horizontal="center" vertical="center"/>
      <protection hidden="1"/>
    </xf>
    <xf numFmtId="0" fontId="5" fillId="2" borderId="0" xfId="0" quotePrefix="1" applyFont="1" applyFill="1" applyAlignment="1" applyProtection="1">
      <alignment horizontal="left" vertical="center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8" fillId="2" borderId="0" xfId="0" quotePrefix="1" applyFont="1" applyFill="1" applyAlignment="1" applyProtection="1">
      <alignment horizontal="left" vertical="center"/>
      <protection hidden="1"/>
    </xf>
    <xf numFmtId="164" fontId="5" fillId="2" borderId="0" xfId="1" quotePrefix="1" applyNumberFormat="1" applyFont="1" applyFill="1" applyAlignment="1" applyProtection="1">
      <alignment horizontal="left" vertical="center"/>
      <protection hidden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165" fontId="7" fillId="3" borderId="1" xfId="1" applyNumberFormat="1" applyFont="1" applyFill="1" applyBorder="1" applyAlignment="1" applyProtection="1">
      <alignment horizontal="center" vertical="center" wrapText="1"/>
      <protection hidden="1"/>
    </xf>
    <xf numFmtId="0" fontId="7" fillId="3" borderId="1" xfId="0" applyFont="1" applyFill="1" applyBorder="1" applyAlignment="1" applyProtection="1">
      <alignment horizontal="center" vertical="center" wrapText="1"/>
      <protection hidden="1"/>
    </xf>
    <xf numFmtId="0" fontId="7" fillId="3" borderId="4" xfId="0" applyFont="1" applyFill="1" applyBorder="1" applyAlignment="1" applyProtection="1">
      <alignment horizontal="center" vertical="center" wrapText="1"/>
      <protection hidden="1"/>
    </xf>
    <xf numFmtId="0" fontId="7" fillId="3" borderId="1" xfId="0" applyFont="1" applyFill="1" applyBorder="1" applyAlignment="1" applyProtection="1">
      <alignment horizontal="center" vertical="center" wrapText="1"/>
      <protection hidden="1"/>
    </xf>
    <xf numFmtId="0" fontId="7" fillId="3" borderId="5" xfId="0" applyFont="1" applyFill="1" applyBorder="1" applyAlignment="1" applyProtection="1">
      <alignment horizontal="center" vertical="center" wrapText="1"/>
      <protection hidden="1"/>
    </xf>
    <xf numFmtId="0" fontId="7" fillId="3" borderId="6" xfId="0" applyFont="1" applyFill="1" applyBorder="1" applyAlignment="1" applyProtection="1">
      <alignment horizontal="center" vertical="center" wrapText="1"/>
      <protection hidden="1"/>
    </xf>
    <xf numFmtId="0" fontId="7" fillId="3" borderId="7" xfId="0" applyFont="1" applyFill="1" applyBorder="1" applyAlignment="1" applyProtection="1">
      <alignment horizontal="center" vertical="center" wrapText="1"/>
      <protection hidden="1"/>
    </xf>
    <xf numFmtId="0" fontId="7" fillId="3" borderId="1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14" fontId="6" fillId="2" borderId="1" xfId="0" applyNumberFormat="1" applyFont="1" applyFill="1" applyBorder="1" applyAlignment="1" applyProtection="1">
      <alignment vertical="center"/>
      <protection hidden="1"/>
    </xf>
    <xf numFmtId="14" fontId="7" fillId="2" borderId="1" xfId="0" applyNumberFormat="1" applyFont="1" applyFill="1" applyBorder="1" applyAlignment="1" applyProtection="1">
      <alignment vertical="center"/>
      <protection hidden="1"/>
    </xf>
    <xf numFmtId="165" fontId="2" fillId="2" borderId="0" xfId="1" applyNumberFormat="1" applyFont="1" applyFill="1" applyBorder="1" applyAlignment="1" applyProtection="1">
      <alignment vertical="center"/>
      <protection hidden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165" fontId="7" fillId="3" borderId="1" xfId="1" applyNumberFormat="1" applyFont="1" applyFill="1" applyBorder="1" applyAlignment="1" applyProtection="1">
      <alignment horizontal="center" vertical="center" wrapText="1"/>
      <protection hidden="1"/>
    </xf>
    <xf numFmtId="164" fontId="7" fillId="3" borderId="1" xfId="1" applyNumberFormat="1" applyFont="1" applyFill="1" applyBorder="1" applyAlignment="1" applyProtection="1">
      <alignment horizontal="center" vertical="center" wrapText="1"/>
      <protection hidden="1"/>
    </xf>
    <xf numFmtId="165" fontId="7" fillId="3" borderId="1" xfId="1" quotePrefix="1" applyNumberFormat="1" applyFont="1" applyFill="1" applyBorder="1" applyAlignment="1" applyProtection="1">
      <alignment horizontal="center" vertical="center" wrapText="1"/>
      <protection hidden="1"/>
    </xf>
    <xf numFmtId="0" fontId="7" fillId="3" borderId="10" xfId="0" applyFont="1" applyFill="1" applyBorder="1" applyAlignment="1" applyProtection="1">
      <alignment horizontal="center" vertical="center" wrapText="1"/>
      <protection hidden="1"/>
    </xf>
    <xf numFmtId="164" fontId="7" fillId="3" borderId="1" xfId="1" applyNumberFormat="1" applyFont="1" applyFill="1" applyBorder="1" applyAlignment="1" applyProtection="1">
      <alignment horizontal="center" vertical="center"/>
      <protection hidden="1"/>
    </xf>
    <xf numFmtId="0" fontId="7" fillId="3" borderId="1" xfId="0" applyFont="1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vertical="center" wrapText="1"/>
      <protection hidden="1"/>
    </xf>
    <xf numFmtId="14" fontId="2" fillId="4" borderId="1" xfId="0" applyNumberFormat="1" applyFont="1" applyFill="1" applyBorder="1" applyAlignment="1" applyProtection="1">
      <alignment vertical="center" wrapText="1"/>
      <protection hidden="1"/>
    </xf>
    <xf numFmtId="14" fontId="2" fillId="2" borderId="1" xfId="0" applyNumberFormat="1" applyFont="1" applyFill="1" applyBorder="1" applyAlignment="1" applyProtection="1">
      <alignment vertical="center" wrapText="1"/>
      <protection hidden="1"/>
    </xf>
    <xf numFmtId="14" fontId="6" fillId="2" borderId="1" xfId="0" applyNumberFormat="1" applyFont="1" applyFill="1" applyBorder="1" applyAlignment="1" applyProtection="1">
      <alignment horizontal="center" vertical="center" wrapText="1"/>
      <protection hidden="1"/>
    </xf>
    <xf numFmtId="165" fontId="7" fillId="2" borderId="1" xfId="1" applyNumberFormat="1" applyFont="1" applyFill="1" applyBorder="1" applyAlignment="1" applyProtection="1">
      <alignment horizontal="center" vertical="center" wrapText="1"/>
      <protection hidden="1"/>
    </xf>
    <xf numFmtId="165" fontId="7" fillId="2" borderId="1" xfId="1" applyNumberFormat="1" applyFont="1" applyFill="1" applyBorder="1" applyAlignment="1" applyProtection="1">
      <alignment vertical="center" wrapText="1"/>
      <protection hidden="1"/>
    </xf>
    <xf numFmtId="165" fontId="7" fillId="2" borderId="5" xfId="1" applyNumberFormat="1" applyFont="1" applyFill="1" applyBorder="1" applyAlignment="1" applyProtection="1">
      <alignment horizontal="center" vertical="center" wrapText="1"/>
      <protection hidden="1"/>
    </xf>
    <xf numFmtId="165" fontId="7" fillId="2" borderId="6" xfId="1" applyNumberFormat="1" applyFont="1" applyFill="1" applyBorder="1" applyAlignment="1" applyProtection="1">
      <alignment horizontal="center" vertical="center" wrapText="1"/>
      <protection hidden="1"/>
    </xf>
    <xf numFmtId="165" fontId="7" fillId="2" borderId="7" xfId="1" applyNumberFormat="1" applyFont="1" applyFill="1" applyBorder="1" applyAlignment="1" applyProtection="1">
      <alignment horizontal="center" vertical="center" wrapText="1"/>
      <protection hidden="1"/>
    </xf>
    <xf numFmtId="165" fontId="7" fillId="3" borderId="5" xfId="1" applyNumberFormat="1" applyFont="1" applyFill="1" applyBorder="1" applyAlignment="1" applyProtection="1">
      <alignment horizontal="center" vertical="center" wrapText="1"/>
      <protection hidden="1"/>
    </xf>
    <xf numFmtId="165" fontId="7" fillId="3" borderId="6" xfId="1" applyNumberFormat="1" applyFont="1" applyFill="1" applyBorder="1" applyAlignment="1" applyProtection="1">
      <alignment horizontal="center" vertical="center" wrapText="1"/>
      <protection hidden="1"/>
    </xf>
    <xf numFmtId="165" fontId="7" fillId="3" borderId="7" xfId="1" applyNumberFormat="1" applyFont="1" applyFill="1" applyBorder="1" applyAlignment="1" applyProtection="1">
      <alignment horizontal="center" vertical="center" wrapText="1"/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1" applyNumberFormat="1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>
      <alignment horizontal="center" vertical="center" wrapText="1"/>
    </xf>
    <xf numFmtId="16" fontId="2" fillId="5" borderId="1" xfId="0" quotePrefix="1" applyNumberFormat="1" applyFont="1" applyFill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0" fontId="2" fillId="5" borderId="1" xfId="0" quotePrefix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  <protection hidden="1"/>
    </xf>
    <xf numFmtId="14" fontId="6" fillId="4" borderId="1" xfId="0" applyNumberFormat="1" applyFont="1" applyFill="1" applyBorder="1" applyAlignment="1" applyProtection="1">
      <alignment vertical="center" wrapText="1"/>
      <protection hidden="1"/>
    </xf>
    <xf numFmtId="0" fontId="2" fillId="5" borderId="5" xfId="0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 applyProtection="1">
      <alignment horizontal="center" vertical="center" wrapText="1"/>
      <protection hidden="1"/>
    </xf>
    <xf numFmtId="0" fontId="9" fillId="2" borderId="0" xfId="0" applyFont="1" applyFill="1" applyAlignment="1">
      <alignment vertical="center"/>
    </xf>
    <xf numFmtId="0" fontId="10" fillId="3" borderId="1" xfId="0" applyFont="1" applyFill="1" applyBorder="1" applyAlignment="1">
      <alignment vertical="center"/>
    </xf>
    <xf numFmtId="165" fontId="10" fillId="3" borderId="1" xfId="0" applyNumberFormat="1" applyFont="1" applyFill="1" applyBorder="1" applyAlignment="1">
      <alignment horizontal="left" vertical="center" wrapText="1"/>
    </xf>
    <xf numFmtId="165" fontId="10" fillId="3" borderId="1" xfId="0" applyNumberFormat="1" applyFont="1" applyFill="1" applyBorder="1" applyAlignment="1">
      <alignment horizontal="left" vertical="center"/>
    </xf>
    <xf numFmtId="165" fontId="10" fillId="3" borderId="1" xfId="1" applyNumberFormat="1" applyFont="1" applyFill="1" applyBorder="1" applyAlignment="1">
      <alignment horizontal="left" vertical="center" wrapText="1"/>
    </xf>
    <xf numFmtId="165" fontId="7" fillId="3" borderId="1" xfId="1" applyNumberFormat="1" applyFont="1" applyFill="1" applyBorder="1" applyAlignment="1">
      <alignment horizontal="right" vertical="center"/>
    </xf>
    <xf numFmtId="164" fontId="7" fillId="3" borderId="1" xfId="1" applyNumberFormat="1" applyFont="1" applyFill="1" applyBorder="1" applyAlignment="1">
      <alignment horizontal="right" vertical="center"/>
    </xf>
    <xf numFmtId="165" fontId="7" fillId="3" borderId="5" xfId="1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165" fontId="7" fillId="3" borderId="1" xfId="0" applyNumberFormat="1" applyFont="1" applyFill="1" applyBorder="1" applyAlignment="1">
      <alignment horizontal="left" vertical="center"/>
    </xf>
    <xf numFmtId="164" fontId="7" fillId="3" borderId="1" xfId="1" applyNumberFormat="1" applyFont="1" applyFill="1" applyBorder="1" applyAlignment="1">
      <alignment horizontal="left" vertical="center"/>
    </xf>
    <xf numFmtId="165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3" fontId="9" fillId="0" borderId="1" xfId="0" applyNumberFormat="1" applyFont="1" applyBorder="1" applyAlignment="1">
      <alignment horizontal="left" vertical="center"/>
    </xf>
    <xf numFmtId="43" fontId="9" fillId="0" borderId="1" xfId="0" applyNumberFormat="1" applyFont="1" applyBorder="1" applyAlignment="1">
      <alignment horizontal="left" vertical="center" wrapText="1"/>
    </xf>
    <xf numFmtId="165" fontId="9" fillId="0" borderId="1" xfId="1" quotePrefix="1" applyNumberFormat="1" applyFont="1" applyFill="1" applyBorder="1" applyAlignment="1">
      <alignment horizontal="right" vertical="center"/>
    </xf>
    <xf numFmtId="165" fontId="9" fillId="0" borderId="1" xfId="1" applyNumberFormat="1" applyFont="1" applyFill="1" applyBorder="1" applyAlignment="1">
      <alignment horizontal="right" vertical="center"/>
    </xf>
    <xf numFmtId="164" fontId="9" fillId="0" borderId="1" xfId="1" applyNumberFormat="1" applyFont="1" applyFill="1" applyBorder="1" applyAlignment="1">
      <alignment vertical="center"/>
    </xf>
    <xf numFmtId="165" fontId="9" fillId="0" borderId="1" xfId="1" applyNumberFormat="1" applyFont="1" applyFill="1" applyBorder="1" applyAlignment="1">
      <alignment vertical="center"/>
    </xf>
    <xf numFmtId="164" fontId="9" fillId="0" borderId="1" xfId="1" applyNumberFormat="1" applyFont="1" applyBorder="1" applyAlignment="1">
      <alignment vertical="center"/>
    </xf>
    <xf numFmtId="165" fontId="9" fillId="0" borderId="1" xfId="0" applyNumberFormat="1" applyFont="1" applyBorder="1" applyAlignment="1">
      <alignment vertical="center"/>
    </xf>
    <xf numFmtId="164" fontId="9" fillId="0" borderId="1" xfId="1" quotePrefix="1" applyNumberFormat="1" applyFont="1" applyFill="1" applyBorder="1" applyAlignment="1">
      <alignment horizontal="right" vertical="center"/>
    </xf>
    <xf numFmtId="14" fontId="9" fillId="0" borderId="1" xfId="0" applyNumberFormat="1" applyFont="1" applyBorder="1" applyAlignment="1">
      <alignment vertical="center"/>
    </xf>
    <xf numFmtId="14" fontId="9" fillId="0" borderId="1" xfId="0" applyNumberFormat="1" applyFont="1" applyBorder="1" applyAlignment="1">
      <alignment vertical="center" wrapText="1"/>
    </xf>
    <xf numFmtId="165" fontId="9" fillId="0" borderId="5" xfId="1" applyNumberFormat="1" applyFont="1" applyFill="1" applyBorder="1" applyAlignment="1">
      <alignment vertical="center"/>
    </xf>
    <xf numFmtId="165" fontId="9" fillId="0" borderId="1" xfId="1" applyNumberFormat="1" applyFont="1" applyBorder="1" applyAlignment="1">
      <alignment vertical="center"/>
    </xf>
    <xf numFmtId="165" fontId="9" fillId="0" borderId="0" xfId="1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3" borderId="1" xfId="0" applyFont="1" applyFill="1" applyBorder="1" applyAlignment="1" applyProtection="1">
      <alignment vertical="center"/>
      <protection hidden="1"/>
    </xf>
    <xf numFmtId="0" fontId="10" fillId="3" borderId="1" xfId="0" applyFont="1" applyFill="1" applyBorder="1" applyAlignment="1" applyProtection="1">
      <alignment vertical="center" wrapText="1"/>
      <protection hidden="1"/>
    </xf>
    <xf numFmtId="165" fontId="7" fillId="3" borderId="11" xfId="1" quotePrefix="1" applyNumberFormat="1" applyFont="1" applyFill="1" applyBorder="1" applyAlignment="1">
      <alignment horizontal="right" vertical="center"/>
    </xf>
    <xf numFmtId="164" fontId="7" fillId="3" borderId="11" xfId="1" quotePrefix="1" applyNumberFormat="1" applyFont="1" applyFill="1" applyBorder="1" applyAlignment="1">
      <alignment horizontal="right" vertical="center"/>
    </xf>
    <xf numFmtId="165" fontId="11" fillId="3" borderId="1" xfId="1" quotePrefix="1" applyNumberFormat="1" applyFont="1" applyFill="1" applyBorder="1" applyAlignment="1">
      <alignment horizontal="right" vertical="center"/>
    </xf>
    <xf numFmtId="165" fontId="7" fillId="3" borderId="5" xfId="1" quotePrefix="1" applyNumberFormat="1" applyFont="1" applyFill="1" applyBorder="1" applyAlignment="1">
      <alignment horizontal="right" vertical="center"/>
    </xf>
    <xf numFmtId="165" fontId="7" fillId="3" borderId="1" xfId="1" quotePrefix="1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6" fontId="12" fillId="2" borderId="0" xfId="0" applyNumberFormat="1" applyFont="1" applyFill="1" applyAlignment="1">
      <alignment horizontal="center" vertical="center"/>
    </xf>
    <xf numFmtId="165" fontId="12" fillId="2" borderId="0" xfId="1" applyNumberFormat="1" applyFont="1" applyFill="1" applyAlignment="1">
      <alignment horizontal="center" vertical="center" wrapText="1"/>
    </xf>
    <xf numFmtId="165" fontId="12" fillId="2" borderId="0" xfId="1" applyNumberFormat="1" applyFont="1" applyFill="1" applyAlignment="1">
      <alignment horizontal="center" vertical="center"/>
    </xf>
    <xf numFmtId="165" fontId="12" fillId="2" borderId="0" xfId="1" applyNumberFormat="1" applyFont="1" applyFill="1" applyAlignment="1">
      <alignment vertical="center"/>
    </xf>
    <xf numFmtId="164" fontId="12" fillId="2" borderId="0" xfId="1" applyNumberFormat="1" applyFont="1" applyFill="1" applyAlignment="1">
      <alignment vertical="center"/>
    </xf>
    <xf numFmtId="165" fontId="12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horizontal="center"/>
    </xf>
    <xf numFmtId="165" fontId="13" fillId="2" borderId="0" xfId="0" applyNumberFormat="1" applyFont="1" applyFill="1" applyAlignment="1">
      <alignment horizontal="center"/>
    </xf>
    <xf numFmtId="165" fontId="9" fillId="2" borderId="0" xfId="0" applyNumberFormat="1" applyFont="1" applyFill="1" applyAlignment="1">
      <alignment vertical="center"/>
    </xf>
    <xf numFmtId="14" fontId="12" fillId="0" borderId="0" xfId="0" applyNumberFormat="1" applyFont="1"/>
    <xf numFmtId="14" fontId="12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horizont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/>
    <xf numFmtId="165" fontId="12" fillId="2" borderId="0" xfId="1" applyNumberFormat="1" applyFont="1" applyFill="1"/>
    <xf numFmtId="43" fontId="12" fillId="2" borderId="0" xfId="1" applyFont="1" applyFill="1" applyAlignment="1">
      <alignment vertical="center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vertical="center" wrapText="1"/>
    </xf>
    <xf numFmtId="0" fontId="14" fillId="2" borderId="0" xfId="0" applyFont="1" applyFill="1" applyAlignment="1">
      <alignment horizontal="center" vertical="center"/>
    </xf>
    <xf numFmtId="0" fontId="14" fillId="0" borderId="0" xfId="0" applyFont="1"/>
    <xf numFmtId="0" fontId="14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 wrapText="1"/>
    </xf>
    <xf numFmtId="165" fontId="14" fillId="2" borderId="0" xfId="1" applyNumberFormat="1" applyFont="1" applyFill="1" applyAlignment="1">
      <alignment vertical="center"/>
    </xf>
    <xf numFmtId="164" fontId="14" fillId="2" borderId="0" xfId="1" applyNumberFormat="1" applyFont="1" applyFill="1" applyAlignment="1">
      <alignment vertical="center"/>
    </xf>
    <xf numFmtId="14" fontId="14" fillId="2" borderId="0" xfId="0" applyNumberFormat="1" applyFont="1" applyFill="1" applyAlignment="1">
      <alignment vertical="center"/>
    </xf>
    <xf numFmtId="165" fontId="14" fillId="2" borderId="0" xfId="0" applyNumberFormat="1" applyFont="1" applyFill="1" applyAlignment="1">
      <alignment vertical="center"/>
    </xf>
    <xf numFmtId="165" fontId="14" fillId="2" borderId="0" xfId="1" applyNumberFormat="1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13" fillId="0" borderId="0" xfId="0" applyFont="1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165" fontId="2" fillId="2" borderId="0" xfId="1" applyNumberFormat="1" applyFont="1" applyFill="1" applyAlignment="1">
      <alignment vertical="center" wrapText="1"/>
    </xf>
    <xf numFmtId="165" fontId="2" fillId="2" borderId="0" xfId="1" applyNumberFormat="1" applyFont="1" applyFill="1" applyAlignment="1">
      <alignment vertical="center"/>
    </xf>
    <xf numFmtId="164" fontId="2" fillId="2" borderId="0" xfId="1" applyNumberFormat="1" applyFont="1" applyFill="1" applyAlignment="1">
      <alignment vertical="center"/>
    </xf>
    <xf numFmtId="14" fontId="2" fillId="2" borderId="0" xfId="0" applyNumberFormat="1" applyFont="1" applyFill="1" applyAlignment="1">
      <alignment vertical="center"/>
    </xf>
    <xf numFmtId="1" fontId="2" fillId="0" borderId="0" xfId="0" applyNumberFormat="1" applyFont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rayqn-my.sharepoint.com/personal/son_nt_tiqn_com_vn/Documents/Desktop/Dev/New%20folder/no%20pass_Payroll_Jul%2026%20w1.xlsx" TargetMode="External"/><Relationship Id="rId1" Type="http://schemas.openxmlformats.org/officeDocument/2006/relationships/externalLinkPath" Target="no%20pass_Payroll_Jul%2026%20w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 0.0"/>
      <sheetName val="Form 0"/>
      <sheetName val="Timesheet"/>
      <sheetName val="Overtime"/>
      <sheetName val="Report"/>
      <sheetName val="Salary"/>
      <sheetName val="Sheet1"/>
      <sheetName val="TCTV"/>
      <sheetName val="BTHĐ"/>
      <sheetName val="Bus"/>
      <sheetName val="i &amp; u 02"/>
      <sheetName val="DS nghỉ thai sản"/>
      <sheetName val="262 Tám"/>
      <sheetName val="Trễ &amp; sớm"/>
      <sheetName val="Support"/>
      <sheetName val="I &amp; U Aug"/>
      <sheetName val="Breakdown sheet 01"/>
      <sheetName val="DS nghỉ"/>
      <sheetName val="Danh sach bao giam 02"/>
      <sheetName val="Form 5"/>
      <sheetName val="Payment request"/>
      <sheetName val="Breakdown sheet"/>
      <sheetName val="BTHĐ 1650"/>
      <sheetName val="Payment slip"/>
      <sheetName val="Note"/>
      <sheetName val="Booking"/>
      <sheetName val="WT+OT"/>
      <sheetName val="Salary Mar rev"/>
      <sheetName val="Menses"/>
      <sheetName val="Adj Salary Oct 24"/>
      <sheetName val="Add Salary Nov w2"/>
      <sheetName val="12"/>
      <sheetName val="VCB Account"/>
      <sheetName val="VCB form"/>
      <sheetName val="Salary payment "/>
      <sheetName val="Form 9"/>
      <sheetName val="BIEU THUE"/>
    </sheetNames>
    <sheetDataSet>
      <sheetData sheetId="0"/>
      <sheetData sheetId="1"/>
      <sheetData sheetId="2">
        <row r="5">
          <cell r="B5" t="str">
            <v>Employee ID /Mã NV</v>
          </cell>
        </row>
        <row r="6">
          <cell r="BW6" t="str">
            <v>Ngày công từ ngày 1 tháng 7</v>
          </cell>
        </row>
        <row r="7">
          <cell r="AV7" t="str">
            <v>O</v>
          </cell>
          <cell r="AW7" t="str">
            <v>CO</v>
          </cell>
          <cell r="AX7" t="str">
            <v>O 1 ngày</v>
          </cell>
          <cell r="AY7" t="str">
            <v>CO 1 ngày</v>
          </cell>
          <cell r="AZ7" t="str">
            <v>TS</v>
          </cell>
          <cell r="BA7" t="str">
            <v>DS</v>
          </cell>
          <cell r="BB7" t="str">
            <v>O Jul</v>
          </cell>
          <cell r="BC7" t="str">
            <v>CO Jul</v>
          </cell>
          <cell r="BF7" t="str">
            <v>Tổng nghỉ hưởng BHXH trong Nov</v>
          </cell>
          <cell r="BI7" t="str">
            <v>KL</v>
          </cell>
          <cell r="BJ7" t="str">
            <v>KL Jul</v>
          </cell>
          <cell r="BK7" t="str">
            <v>Đi sớm /về trễ</v>
          </cell>
          <cell r="BM7" t="str">
            <v>Khám thai</v>
          </cell>
          <cell r="BS7" t="str">
            <v>Nghỉ bù OT CN</v>
          </cell>
          <cell r="BT7" t="str">
            <v>Ngày công đóng BH</v>
          </cell>
          <cell r="BU7" t="str">
            <v>KL ko trừ CC</v>
          </cell>
          <cell r="BV7" t="str">
            <v>KL trừ CC</v>
          </cell>
        </row>
        <row r="9"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F9">
            <v>0</v>
          </cell>
          <cell r="BI9">
            <v>0</v>
          </cell>
          <cell r="BJ9">
            <v>0</v>
          </cell>
          <cell r="BK9">
            <v>0</v>
          </cell>
          <cell r="BM9">
            <v>0</v>
          </cell>
          <cell r="BQ9">
            <v>0</v>
          </cell>
          <cell r="BS9">
            <v>0</v>
          </cell>
          <cell r="BT9">
            <v>21</v>
          </cell>
          <cell r="BV9">
            <v>0</v>
          </cell>
          <cell r="BW9">
            <v>0</v>
          </cell>
        </row>
        <row r="10">
          <cell r="B10" t="str">
            <v>TIQN-1457</v>
          </cell>
          <cell r="AO10">
            <v>7.9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F10">
            <v>0</v>
          </cell>
          <cell r="BI10">
            <v>0</v>
          </cell>
          <cell r="BJ10">
            <v>0</v>
          </cell>
          <cell r="BK10">
            <v>1</v>
          </cell>
          <cell r="BM10">
            <v>0</v>
          </cell>
          <cell r="BQ10">
            <v>0</v>
          </cell>
          <cell r="BS10">
            <v>0</v>
          </cell>
          <cell r="BT10">
            <v>17</v>
          </cell>
          <cell r="BV10">
            <v>0</v>
          </cell>
          <cell r="BW10">
            <v>3</v>
          </cell>
        </row>
        <row r="11">
          <cell r="B11" t="str">
            <v>TIQN-1654</v>
          </cell>
          <cell r="AO11">
            <v>4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F11">
            <v>0</v>
          </cell>
          <cell r="BI11">
            <v>4</v>
          </cell>
          <cell r="BJ11">
            <v>4</v>
          </cell>
          <cell r="BK11">
            <v>0</v>
          </cell>
          <cell r="BM11">
            <v>0</v>
          </cell>
          <cell r="BQ11">
            <v>0</v>
          </cell>
          <cell r="BS11">
            <v>0</v>
          </cell>
          <cell r="BT11">
            <v>21</v>
          </cell>
          <cell r="BV11">
            <v>4</v>
          </cell>
          <cell r="BW11">
            <v>0</v>
          </cell>
        </row>
        <row r="12">
          <cell r="B12" t="str">
            <v>TIQN-1663</v>
          </cell>
          <cell r="AO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F12">
            <v>0</v>
          </cell>
          <cell r="BI12">
            <v>7</v>
          </cell>
          <cell r="BJ12">
            <v>3</v>
          </cell>
          <cell r="BK12">
            <v>0</v>
          </cell>
          <cell r="BM12">
            <v>0</v>
          </cell>
          <cell r="BQ12">
            <v>0</v>
          </cell>
          <cell r="BS12">
            <v>0</v>
          </cell>
          <cell r="BT12">
            <v>21</v>
          </cell>
          <cell r="BV12">
            <v>7</v>
          </cell>
          <cell r="BW12">
            <v>0</v>
          </cell>
        </row>
        <row r="13">
          <cell r="B13" t="str">
            <v>TIQN-2062</v>
          </cell>
          <cell r="AO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F13">
            <v>0</v>
          </cell>
          <cell r="BI13">
            <v>7</v>
          </cell>
          <cell r="BJ13">
            <v>3</v>
          </cell>
          <cell r="BK13">
            <v>0</v>
          </cell>
          <cell r="BM13">
            <v>0</v>
          </cell>
          <cell r="BQ13">
            <v>0</v>
          </cell>
          <cell r="BS13">
            <v>0</v>
          </cell>
          <cell r="BT13">
            <v>21</v>
          </cell>
          <cell r="BV13">
            <v>7</v>
          </cell>
          <cell r="BW13">
            <v>0</v>
          </cell>
        </row>
        <row r="14">
          <cell r="B14" t="str">
            <v>TIQN-2181</v>
          </cell>
          <cell r="AO14">
            <v>0.5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F14">
            <v>0</v>
          </cell>
          <cell r="BI14">
            <v>1</v>
          </cell>
          <cell r="BJ14">
            <v>0</v>
          </cell>
          <cell r="BK14">
            <v>1</v>
          </cell>
          <cell r="BM14">
            <v>0</v>
          </cell>
          <cell r="BQ14">
            <v>0</v>
          </cell>
          <cell r="BS14">
            <v>0</v>
          </cell>
          <cell r="BT14">
            <v>21</v>
          </cell>
          <cell r="BV14">
            <v>1</v>
          </cell>
          <cell r="BW14">
            <v>0</v>
          </cell>
        </row>
        <row r="15">
          <cell r="B15" t="str">
            <v>TIQN-2192</v>
          </cell>
          <cell r="AO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F15">
            <v>0</v>
          </cell>
          <cell r="BI15">
            <v>2</v>
          </cell>
          <cell r="BJ15">
            <v>0</v>
          </cell>
          <cell r="BK15">
            <v>0</v>
          </cell>
          <cell r="BM15">
            <v>0</v>
          </cell>
          <cell r="BQ15">
            <v>0</v>
          </cell>
          <cell r="BS15">
            <v>0</v>
          </cell>
          <cell r="BT15">
            <v>21</v>
          </cell>
          <cell r="BV15">
            <v>2</v>
          </cell>
          <cell r="BW15">
            <v>0</v>
          </cell>
        </row>
        <row r="16">
          <cell r="B16" t="str">
            <v>TIQN-2208</v>
          </cell>
          <cell r="AO16">
            <v>7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F16">
            <v>0</v>
          </cell>
          <cell r="BI16">
            <v>0</v>
          </cell>
          <cell r="BJ16">
            <v>0</v>
          </cell>
          <cell r="BK16">
            <v>0</v>
          </cell>
          <cell r="BM16">
            <v>0</v>
          </cell>
          <cell r="BQ16">
            <v>0</v>
          </cell>
          <cell r="BS16">
            <v>0</v>
          </cell>
          <cell r="BT16">
            <v>18</v>
          </cell>
          <cell r="BV16">
            <v>0</v>
          </cell>
          <cell r="BW16">
            <v>2</v>
          </cell>
        </row>
        <row r="17">
          <cell r="B17" t="str">
            <v>TIQN-2219</v>
          </cell>
          <cell r="AO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F17">
            <v>0</v>
          </cell>
          <cell r="BI17">
            <v>2</v>
          </cell>
          <cell r="BJ17">
            <v>0</v>
          </cell>
          <cell r="BK17">
            <v>0</v>
          </cell>
          <cell r="BM17">
            <v>0</v>
          </cell>
          <cell r="BQ17">
            <v>0</v>
          </cell>
          <cell r="BS17">
            <v>0</v>
          </cell>
          <cell r="BT17">
            <v>21</v>
          </cell>
          <cell r="BV17">
            <v>2</v>
          </cell>
          <cell r="BW17">
            <v>0</v>
          </cell>
        </row>
        <row r="18">
          <cell r="B18" t="str">
            <v>TIQN-2231</v>
          </cell>
          <cell r="AO18">
            <v>0.5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F18">
            <v>0</v>
          </cell>
          <cell r="BI18">
            <v>0</v>
          </cell>
          <cell r="BJ18">
            <v>0</v>
          </cell>
          <cell r="BK18">
            <v>1</v>
          </cell>
          <cell r="BM18">
            <v>0</v>
          </cell>
          <cell r="BQ18">
            <v>0</v>
          </cell>
          <cell r="BS18">
            <v>0</v>
          </cell>
          <cell r="BT18">
            <v>21</v>
          </cell>
          <cell r="BV18">
            <v>0</v>
          </cell>
          <cell r="BW18">
            <v>0</v>
          </cell>
        </row>
        <row r="19">
          <cell r="B19" t="str">
            <v>TIQN-2236</v>
          </cell>
          <cell r="AO19">
            <v>1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F19">
            <v>0</v>
          </cell>
          <cell r="BI19">
            <v>1</v>
          </cell>
          <cell r="BJ19">
            <v>0</v>
          </cell>
          <cell r="BK19">
            <v>0</v>
          </cell>
          <cell r="BM19">
            <v>0</v>
          </cell>
          <cell r="BQ19">
            <v>0</v>
          </cell>
          <cell r="BS19">
            <v>0</v>
          </cell>
          <cell r="BT19">
            <v>21</v>
          </cell>
          <cell r="BV19">
            <v>1</v>
          </cell>
          <cell r="BW19">
            <v>0</v>
          </cell>
        </row>
        <row r="20">
          <cell r="B20" t="str">
            <v>TIQN-2247</v>
          </cell>
          <cell r="AO20">
            <v>2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F20">
            <v>0</v>
          </cell>
          <cell r="BI20">
            <v>4</v>
          </cell>
          <cell r="BJ20">
            <v>2</v>
          </cell>
          <cell r="BK20">
            <v>0</v>
          </cell>
          <cell r="BM20">
            <v>0</v>
          </cell>
          <cell r="BQ20">
            <v>0</v>
          </cell>
          <cell r="BS20">
            <v>0</v>
          </cell>
          <cell r="BT20">
            <v>21</v>
          </cell>
          <cell r="BV20">
            <v>4</v>
          </cell>
          <cell r="BW20">
            <v>0</v>
          </cell>
        </row>
        <row r="21">
          <cell r="B21" t="str">
            <v>TIQN-2249</v>
          </cell>
          <cell r="AO21">
            <v>2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F21">
            <v>0</v>
          </cell>
          <cell r="BI21">
            <v>3</v>
          </cell>
          <cell r="BJ21">
            <v>1</v>
          </cell>
          <cell r="BK21">
            <v>0</v>
          </cell>
          <cell r="BM21">
            <v>0</v>
          </cell>
          <cell r="BQ21">
            <v>0</v>
          </cell>
          <cell r="BS21">
            <v>0</v>
          </cell>
          <cell r="BT21">
            <v>21</v>
          </cell>
          <cell r="BV21">
            <v>3</v>
          </cell>
          <cell r="BW21">
            <v>0</v>
          </cell>
        </row>
        <row r="22">
          <cell r="B22" t="str">
            <v>TIQN-2250</v>
          </cell>
          <cell r="AO22">
            <v>3.5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F22">
            <v>0</v>
          </cell>
          <cell r="BI22">
            <v>0</v>
          </cell>
          <cell r="BJ22">
            <v>0</v>
          </cell>
          <cell r="BK22">
            <v>1</v>
          </cell>
          <cell r="BM22">
            <v>0</v>
          </cell>
          <cell r="BQ22">
            <v>0</v>
          </cell>
          <cell r="BS22">
            <v>0</v>
          </cell>
          <cell r="BT22">
            <v>21</v>
          </cell>
          <cell r="BV22">
            <v>0</v>
          </cell>
          <cell r="BW22">
            <v>0</v>
          </cell>
        </row>
        <row r="23">
          <cell r="B23" t="str">
            <v>TIQN-2257</v>
          </cell>
          <cell r="AO23">
            <v>3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F23">
            <v>0</v>
          </cell>
          <cell r="BI23">
            <v>0</v>
          </cell>
          <cell r="BJ23">
            <v>0</v>
          </cell>
          <cell r="BK23">
            <v>0</v>
          </cell>
          <cell r="BM23">
            <v>0</v>
          </cell>
          <cell r="BQ23">
            <v>0</v>
          </cell>
          <cell r="BS23">
            <v>0</v>
          </cell>
          <cell r="BT23">
            <v>19</v>
          </cell>
          <cell r="BV23">
            <v>0</v>
          </cell>
          <cell r="BW23">
            <v>1</v>
          </cell>
        </row>
        <row r="24">
          <cell r="B24" t="str">
            <v>TIQN-2268</v>
          </cell>
          <cell r="AO24">
            <v>2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F24">
            <v>0</v>
          </cell>
          <cell r="BI24">
            <v>0</v>
          </cell>
          <cell r="BJ24">
            <v>0</v>
          </cell>
          <cell r="BK24">
            <v>0</v>
          </cell>
          <cell r="BM24">
            <v>0</v>
          </cell>
          <cell r="BQ24">
            <v>0</v>
          </cell>
          <cell r="BS24">
            <v>0</v>
          </cell>
          <cell r="BT24">
            <v>19</v>
          </cell>
          <cell r="BV24">
            <v>0</v>
          </cell>
          <cell r="BW24">
            <v>2</v>
          </cell>
        </row>
        <row r="25">
          <cell r="B25" t="str">
            <v>TIQN-2280</v>
          </cell>
          <cell r="AO25">
            <v>1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F25">
            <v>0</v>
          </cell>
          <cell r="BI25">
            <v>0</v>
          </cell>
          <cell r="BJ25">
            <v>0</v>
          </cell>
          <cell r="BK25">
            <v>0</v>
          </cell>
          <cell r="BM25">
            <v>0</v>
          </cell>
          <cell r="BQ25">
            <v>0</v>
          </cell>
          <cell r="BS25">
            <v>0</v>
          </cell>
          <cell r="BT25">
            <v>20</v>
          </cell>
          <cell r="BV25">
            <v>0</v>
          </cell>
          <cell r="BW25">
            <v>1</v>
          </cell>
        </row>
        <row r="26">
          <cell r="B26" t="str">
            <v>Tổng</v>
          </cell>
        </row>
      </sheetData>
      <sheetData sheetId="3">
        <row r="3">
          <cell r="A3" t="str">
            <v>Jul 2026/ Tháng 07 năm 2026 (26 Jun 26 - 25 Jul 26)</v>
          </cell>
        </row>
        <row r="9">
          <cell r="AU9">
            <v>0</v>
          </cell>
          <cell r="AY9">
            <v>0</v>
          </cell>
        </row>
        <row r="10">
          <cell r="B10" t="str">
            <v>TIQN-1457</v>
          </cell>
          <cell r="AN10">
            <v>5.0999999999999996</v>
          </cell>
          <cell r="AO10">
            <v>5.0999999999999996</v>
          </cell>
          <cell r="AP10">
            <v>0</v>
          </cell>
          <cell r="AU10">
            <v>5.0999999999999996</v>
          </cell>
          <cell r="AY10">
            <v>2.5499999999999998</v>
          </cell>
        </row>
        <row r="11">
          <cell r="B11" t="str">
            <v>TIQN-1654</v>
          </cell>
          <cell r="AN11">
            <v>2</v>
          </cell>
          <cell r="AO11">
            <v>2</v>
          </cell>
          <cell r="AP11">
            <v>0</v>
          </cell>
          <cell r="AU11">
            <v>2</v>
          </cell>
          <cell r="AY11">
            <v>1</v>
          </cell>
        </row>
        <row r="12">
          <cell r="B12" t="str">
            <v>TIQN-1663</v>
          </cell>
          <cell r="AN12">
            <v>0</v>
          </cell>
          <cell r="AO12">
            <v>0</v>
          </cell>
          <cell r="AP12">
            <v>0</v>
          </cell>
          <cell r="AU12">
            <v>0</v>
          </cell>
          <cell r="AY12">
            <v>0</v>
          </cell>
        </row>
        <row r="13">
          <cell r="B13" t="str">
            <v>TIQN-2062</v>
          </cell>
          <cell r="AN13">
            <v>0</v>
          </cell>
          <cell r="AO13">
            <v>0</v>
          </cell>
          <cell r="AP13">
            <v>0</v>
          </cell>
          <cell r="AU13">
            <v>0</v>
          </cell>
          <cell r="AY13">
            <v>0</v>
          </cell>
        </row>
        <row r="14">
          <cell r="B14" t="str">
            <v>TIQN-2181</v>
          </cell>
          <cell r="AN14">
            <v>0</v>
          </cell>
          <cell r="AO14">
            <v>0</v>
          </cell>
          <cell r="AP14">
            <v>0</v>
          </cell>
          <cell r="AU14">
            <v>0</v>
          </cell>
          <cell r="AY14">
            <v>0</v>
          </cell>
        </row>
        <row r="15">
          <cell r="B15" t="str">
            <v>TIQN-2192</v>
          </cell>
          <cell r="AN15">
            <v>0</v>
          </cell>
          <cell r="AO15">
            <v>0</v>
          </cell>
          <cell r="AP15">
            <v>0</v>
          </cell>
          <cell r="AU15">
            <v>0</v>
          </cell>
          <cell r="AY15">
            <v>0</v>
          </cell>
        </row>
        <row r="16">
          <cell r="B16" t="str">
            <v>TIQN-2208</v>
          </cell>
          <cell r="AN16">
            <v>9</v>
          </cell>
          <cell r="AO16">
            <v>9</v>
          </cell>
          <cell r="AP16">
            <v>0</v>
          </cell>
          <cell r="AU16">
            <v>9</v>
          </cell>
          <cell r="AY16">
            <v>4.5</v>
          </cell>
        </row>
        <row r="17">
          <cell r="B17" t="str">
            <v>TIQN-2219</v>
          </cell>
          <cell r="AN17">
            <v>0</v>
          </cell>
          <cell r="AO17">
            <v>0</v>
          </cell>
          <cell r="AP17">
            <v>0</v>
          </cell>
          <cell r="AU17">
            <v>0</v>
          </cell>
          <cell r="AY17">
            <v>0</v>
          </cell>
        </row>
        <row r="18">
          <cell r="B18" t="str">
            <v>TIQN-2231</v>
          </cell>
          <cell r="AN18">
            <v>2</v>
          </cell>
          <cell r="AO18">
            <v>2</v>
          </cell>
          <cell r="AP18">
            <v>0</v>
          </cell>
          <cell r="AU18">
            <v>2</v>
          </cell>
          <cell r="AY18">
            <v>1</v>
          </cell>
        </row>
        <row r="19">
          <cell r="B19" t="str">
            <v>TIQN-2236</v>
          </cell>
          <cell r="AN19">
            <v>0</v>
          </cell>
          <cell r="AO19">
            <v>0</v>
          </cell>
          <cell r="AP19">
            <v>0</v>
          </cell>
          <cell r="AU19">
            <v>0</v>
          </cell>
          <cell r="AY19">
            <v>0</v>
          </cell>
        </row>
        <row r="20">
          <cell r="B20" t="str">
            <v>TIQN-2247</v>
          </cell>
          <cell r="AN20">
            <v>0</v>
          </cell>
          <cell r="AO20">
            <v>0</v>
          </cell>
          <cell r="AP20">
            <v>0</v>
          </cell>
          <cell r="AU20">
            <v>0</v>
          </cell>
          <cell r="AY20">
            <v>0</v>
          </cell>
        </row>
        <row r="21">
          <cell r="B21" t="str">
            <v>TIQN-2249</v>
          </cell>
          <cell r="AN21">
            <v>0</v>
          </cell>
          <cell r="AO21">
            <v>0</v>
          </cell>
          <cell r="AP21">
            <v>0</v>
          </cell>
          <cell r="AU21">
            <v>0</v>
          </cell>
          <cell r="AY21">
            <v>0</v>
          </cell>
        </row>
        <row r="22">
          <cell r="B22" t="str">
            <v>TIQN-2250</v>
          </cell>
          <cell r="AN22">
            <v>0</v>
          </cell>
          <cell r="AO22">
            <v>0</v>
          </cell>
          <cell r="AP22">
            <v>0</v>
          </cell>
          <cell r="AU22">
            <v>0</v>
          </cell>
          <cell r="AY22">
            <v>0</v>
          </cell>
        </row>
        <row r="23">
          <cell r="B23" t="str">
            <v>TIQN-2257</v>
          </cell>
          <cell r="AN23">
            <v>0</v>
          </cell>
          <cell r="AO23">
            <v>0</v>
          </cell>
          <cell r="AP23">
            <v>0</v>
          </cell>
          <cell r="AU23">
            <v>0</v>
          </cell>
          <cell r="AY23">
            <v>0</v>
          </cell>
        </row>
        <row r="24">
          <cell r="B24" t="str">
            <v>TIQN-2268</v>
          </cell>
          <cell r="AN24">
            <v>0</v>
          </cell>
          <cell r="AO24">
            <v>0</v>
          </cell>
          <cell r="AP24">
            <v>0</v>
          </cell>
          <cell r="AU24">
            <v>0</v>
          </cell>
          <cell r="AY24">
            <v>0</v>
          </cell>
        </row>
        <row r="25">
          <cell r="B25" t="str">
            <v>TIQN-2280</v>
          </cell>
          <cell r="AN25">
            <v>0</v>
          </cell>
          <cell r="AO25">
            <v>0</v>
          </cell>
          <cell r="AP25">
            <v>0</v>
          </cell>
          <cell r="AU25">
            <v>0</v>
          </cell>
          <cell r="AY25">
            <v>0</v>
          </cell>
        </row>
        <row r="26">
          <cell r="B26" t="str">
            <v>Tổng</v>
          </cell>
          <cell r="AN26">
            <v>18.100000000000001</v>
          </cell>
          <cell r="AO26">
            <v>18.100000000000001</v>
          </cell>
          <cell r="AP26">
            <v>0</v>
          </cell>
          <cell r="AU26">
            <v>18.100000000000001</v>
          </cell>
          <cell r="AY26">
            <v>9.0500000000000007</v>
          </cell>
        </row>
      </sheetData>
      <sheetData sheetId="4"/>
      <sheetData sheetId="5"/>
      <sheetData sheetId="6"/>
      <sheetData sheetId="7"/>
      <sheetData sheetId="8"/>
      <sheetData sheetId="9">
        <row r="1">
          <cell r="B1" t="str">
            <v>MSNV
 Employees code</v>
          </cell>
          <cell r="G1" t="str">
            <v>Đăng kí đi xe bus</v>
          </cell>
        </row>
        <row r="2">
          <cell r="B2" t="str">
            <v>TIQN-0006</v>
          </cell>
          <cell r="G2">
            <v>1</v>
          </cell>
        </row>
        <row r="3">
          <cell r="B3" t="str">
            <v>TIQN-0510</v>
          </cell>
          <cell r="G3">
            <v>1</v>
          </cell>
        </row>
        <row r="4">
          <cell r="B4" t="str">
            <v>TIQN-0674</v>
          </cell>
          <cell r="G4">
            <v>1</v>
          </cell>
        </row>
        <row r="5">
          <cell r="B5" t="str">
            <v>TIQN-0731</v>
          </cell>
          <cell r="G5">
            <v>1</v>
          </cell>
        </row>
        <row r="6">
          <cell r="B6" t="str">
            <v>TIQN-0851</v>
          </cell>
          <cell r="G6">
            <v>1</v>
          </cell>
        </row>
        <row r="7">
          <cell r="B7" t="str">
            <v>TIQN-0927</v>
          </cell>
          <cell r="G7">
            <v>1</v>
          </cell>
        </row>
        <row r="8">
          <cell r="B8" t="str">
            <v>TIQN-0148</v>
          </cell>
          <cell r="G8">
            <v>1</v>
          </cell>
        </row>
        <row r="9">
          <cell r="B9" t="str">
            <v>TIQN-0418</v>
          </cell>
          <cell r="G9">
            <v>1</v>
          </cell>
        </row>
        <row r="10">
          <cell r="B10" t="str">
            <v>TIQN-0216</v>
          </cell>
          <cell r="G10">
            <v>1</v>
          </cell>
        </row>
        <row r="11">
          <cell r="B11" t="str">
            <v>TIQN-0044</v>
          </cell>
          <cell r="G11">
            <v>1</v>
          </cell>
        </row>
        <row r="12">
          <cell r="B12" t="str">
            <v>TIQN-0444</v>
          </cell>
          <cell r="G12">
            <v>1</v>
          </cell>
        </row>
        <row r="13">
          <cell r="B13" t="str">
            <v>TIQN-0563</v>
          </cell>
          <cell r="G13">
            <v>1</v>
          </cell>
        </row>
        <row r="14">
          <cell r="B14" t="str">
            <v>TIQN-1405</v>
          </cell>
          <cell r="G14">
            <v>1</v>
          </cell>
        </row>
        <row r="15">
          <cell r="B15" t="str">
            <v>TIQN-0160</v>
          </cell>
          <cell r="G15">
            <v>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oan, Phạm Thị Kim / C&amp;B" id="{947EBDE5-3104-4CDC-917C-6DFF2ED3F374}" userId="S::loan.ptk@tiqn.com.vn::82294705-f588-46af-9616-ed1aec75693c" providerId="AD"/>
  <person displayName="User 06" id="{AD93ABC6-3079-40B1-8EC8-B041C3769018}" userId="S::user06@torayqn.onmicrosoft.com::31cc43c1-6cc3-4877-bfae-eb1069089692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V3" dT="2024-10-29T08:43:33.70" personId="{947EBDE5-3104-4CDC-917C-6DFF2ED3F374}" id="{E25BF483-064B-452C-9B78-38D317BDD73F}">
    <text>Ngày cuối tháng tính lương</text>
  </threadedComment>
  <threadedComment ref="CR6" dT="2024-03-30T01:53:26.93" personId="{AD93ABC6-3079-40B1-8EC8-B041C3769018}" id="{3817F199-46E9-413B-BCFF-BC3B85AEC514}">
    <text>Ngày 15 hàng tháng</text>
  </threadedComment>
  <threadedComment ref="L7" dT="2024-08-31T04:24:02.68" personId="{947EBDE5-3104-4CDC-917C-6DFF2ED3F374}" id="{61098F76-03D1-4CA8-A2E5-FE60C529073E}">
    <text>Từ 01/07/2026:
Lương cơ bản: 2.530.000
Lương tối thiểu vùng III: 4.140.000
Lương đóng BHXH max: 50.600.000</text>
  </threadedComment>
  <threadedComment ref="AV7" dT="2024-08-31T04:30:11.33" personId="{947EBDE5-3104-4CDC-917C-6DFF2ED3F374}" id="{9AD9C718-3CD0-46C1-BA02-9DCF87D69B33}">
    <text>Xét trường hợp chưa được ký BHXH trong tháng tính lương: Tính từ 01-31 nếu NLĐ nghỉ từ 14 ngày trở lên thì sẽ không được nhận (giống như xét để đóng BHXH)</text>
  </threadedComment>
  <threadedComment ref="BN7" dT="2024-08-31T04:27:11.99" personId="{947EBDE5-3104-4CDC-917C-6DFF2ED3F374}" id="{42C294C3-BAF2-4836-AF06-DDDAB96A5A85}">
    <text>1. Thử việc, nghỉ việc: 10% TNCT đầu nguồn
2. Chính thức: Lũy tiến
Riêng PC nhà ở sẽ tính xét với 15% TNCT chưa tính phụ cấp nhà ở</text>
  </threadedComment>
  <threadedComment ref="BW7" dT="2024-08-31T04:24:49.32" personId="{947EBDE5-3104-4CDC-917C-6DFF2ED3F374}" id="{5E1C3EEA-40D6-46BF-9881-94DD9FADC12A}">
    <text>Điều kiện: OT trên 4 giờ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618B-EEE1-4E28-88C9-16D219FE8B85}">
  <sheetPr codeName="Sheet14"/>
  <dimension ref="A1:EV716"/>
  <sheetViews>
    <sheetView tabSelected="1" view="pageBreakPreview" zoomScale="85" zoomScaleNormal="85" zoomScaleSheetLayoutView="85" workbookViewId="0">
      <pane xSplit="11" ySplit="8" topLeftCell="Z28" activePane="bottomRight" state="frozen"/>
      <selection activeCell="B1" sqref="B1"/>
      <selection pane="topRight" activeCell="I1" sqref="I1"/>
      <selection pane="bottomLeft" activeCell="B9" sqref="B9"/>
      <selection pane="bottomRight" activeCell="D19" sqref="D19"/>
    </sheetView>
  </sheetViews>
  <sheetFormatPr defaultColWidth="9.109375" defaultRowHeight="10.199999999999999" outlineLevelCol="1" x14ac:dyDescent="0.25"/>
  <cols>
    <col min="1" max="1" width="3.44140625" style="152" customWidth="1"/>
    <col min="2" max="2" width="6.109375" style="149" customWidth="1"/>
    <col min="3" max="3" width="10.109375" style="159" customWidth="1"/>
    <col min="4" max="4" width="15.109375" style="151" customWidth="1"/>
    <col min="5" max="5" width="9.88671875" style="151" customWidth="1"/>
    <col min="6" max="7" width="9.88671875" style="151" hidden="1" customWidth="1"/>
    <col min="8" max="8" width="10.109375" style="152" hidden="1" customWidth="1"/>
    <col min="9" max="9" width="9.109375" style="152" hidden="1" customWidth="1"/>
    <col min="10" max="10" width="12.88671875" style="151" customWidth="1"/>
    <col min="11" max="11" width="15.109375" style="153" customWidth="1"/>
    <col min="12" max="12" width="12.109375" style="155" customWidth="1"/>
    <col min="13" max="14" width="12.88671875" style="155" customWidth="1"/>
    <col min="15" max="15" width="11.109375" style="155" customWidth="1"/>
    <col min="16" max="16" width="11.44140625" style="155" hidden="1" customWidth="1"/>
    <col min="17" max="17" width="10.88671875" style="155" hidden="1" customWidth="1"/>
    <col min="18" max="18" width="12.109375" style="155" customWidth="1"/>
    <col min="19" max="21" width="10" style="155" hidden="1" customWidth="1"/>
    <col min="22" max="22" width="10" style="155" customWidth="1"/>
    <col min="23" max="23" width="11.5546875" style="155" customWidth="1"/>
    <col min="24" max="24" width="10.88671875" style="155" hidden="1" customWidth="1"/>
    <col min="25" max="25" width="10.109375" style="149" customWidth="1"/>
    <col min="26" max="27" width="10.109375" style="152" customWidth="1"/>
    <col min="28" max="28" width="12.44140625" style="152" hidden="1" customWidth="1"/>
    <col min="29" max="29" width="10.44140625" style="152" hidden="1" customWidth="1"/>
    <col min="30" max="30" width="9.5546875" style="152" customWidth="1"/>
    <col min="31" max="33" width="9" style="152" hidden="1" customWidth="1"/>
    <col min="34" max="34" width="9" style="152" customWidth="1"/>
    <col min="35" max="35" width="14.44140625" style="152" hidden="1" customWidth="1"/>
    <col min="36" max="36" width="11" style="152" hidden="1" customWidth="1"/>
    <col min="37" max="37" width="10.109375" style="156" customWidth="1"/>
    <col min="38" max="38" width="10" style="155" customWidth="1"/>
    <col min="39" max="39" width="9.88671875" style="152" customWidth="1"/>
    <col min="40" max="40" width="10.88671875" style="152" customWidth="1"/>
    <col min="41" max="41" width="9.5546875" style="152" hidden="1" customWidth="1"/>
    <col min="42" max="43" width="12.88671875" style="152" hidden="1" customWidth="1"/>
    <col min="44" max="44" width="9.88671875" style="152" hidden="1" customWidth="1"/>
    <col min="45" max="45" width="10.5546875" style="152" customWidth="1"/>
    <col min="46" max="46" width="10.88671875" style="152" hidden="1" customWidth="1"/>
    <col min="47" max="47" width="11.88671875" style="152" hidden="1" customWidth="1"/>
    <col min="48" max="48" width="11.109375" style="152" hidden="1" customWidth="1"/>
    <col min="49" max="49" width="12.5546875" style="152" customWidth="1"/>
    <col min="50" max="50" width="9.5546875" style="152" customWidth="1"/>
    <col min="51" max="51" width="8.88671875" style="152" hidden="1" customWidth="1"/>
    <col min="52" max="52" width="11.44140625" style="152" hidden="1" customWidth="1" outlineLevel="1"/>
    <col min="53" max="56" width="8.88671875" style="152" hidden="1" customWidth="1" outlineLevel="1"/>
    <col min="57" max="57" width="13.88671875" style="152" customWidth="1" collapsed="1"/>
    <col min="58" max="58" width="13.33203125" style="152" hidden="1" customWidth="1"/>
    <col min="59" max="59" width="11.88671875" style="152" hidden="1" customWidth="1"/>
    <col min="60" max="60" width="10.109375" style="155" hidden="1" customWidth="1"/>
    <col min="61" max="61" width="10" style="152" customWidth="1"/>
    <col min="62" max="62" width="9.88671875" style="152" hidden="1" customWidth="1"/>
    <col min="63" max="63" width="8.88671875" style="152" hidden="1" customWidth="1"/>
    <col min="64" max="65" width="11.88671875" style="152" customWidth="1"/>
    <col min="66" max="66" width="10.44140625" style="152" customWidth="1"/>
    <col min="67" max="67" width="11.5546875" style="152" customWidth="1"/>
    <col min="68" max="68" width="13.109375" style="152" hidden="1" customWidth="1"/>
    <col min="69" max="69" width="11.44140625" style="152" hidden="1" customWidth="1"/>
    <col min="70" max="70" width="10.44140625" style="152" hidden="1" customWidth="1"/>
    <col min="71" max="71" width="12.5546875" style="152" hidden="1" customWidth="1"/>
    <col min="72" max="72" width="14.44140625" style="152" hidden="1" customWidth="1"/>
    <col min="73" max="74" width="12.44140625" style="152" hidden="1" customWidth="1"/>
    <col min="75" max="75" width="9.88671875" style="152" hidden="1" customWidth="1"/>
    <col min="76" max="76" width="14.109375" style="152" hidden="1" customWidth="1"/>
    <col min="77" max="77" width="10.5546875" style="152" hidden="1" customWidth="1"/>
    <col min="78" max="78" width="11.5546875" style="152" hidden="1" customWidth="1"/>
    <col min="79" max="79" width="12" style="152" hidden="1" customWidth="1"/>
    <col min="80" max="80" width="12" style="152" customWidth="1" outlineLevel="1"/>
    <col min="81" max="84" width="12" style="152" hidden="1" customWidth="1" outlineLevel="1"/>
    <col min="85" max="85" width="14.88671875" style="152" customWidth="1"/>
    <col min="86" max="86" width="14.109375" style="152" hidden="1" customWidth="1"/>
    <col min="87" max="87" width="11.88671875" style="152" hidden="1" customWidth="1"/>
    <col min="88" max="88" width="10" style="156" customWidth="1"/>
    <col min="89" max="89" width="11.109375" style="152" customWidth="1"/>
    <col min="90" max="90" width="9.109375" style="156" customWidth="1"/>
    <col min="91" max="91" width="12.44140625" style="152" customWidth="1"/>
    <col min="92" max="93" width="11.88671875" style="152" hidden="1" customWidth="1"/>
    <col min="94" max="95" width="12.109375" style="152" customWidth="1"/>
    <col min="96" max="96" width="11.88671875" style="157" customWidth="1"/>
    <col min="97" max="97" width="12.88671875" style="157" customWidth="1"/>
    <col min="98" max="98" width="12" style="157" customWidth="1"/>
    <col min="99" max="99" width="9.109375" style="152" customWidth="1"/>
    <col min="100" max="100" width="12" style="157" customWidth="1"/>
    <col min="101" max="101" width="8.44140625" style="157" customWidth="1"/>
    <col min="102" max="105" width="14.5546875" style="152" hidden="1" customWidth="1"/>
    <col min="106" max="135" width="12" style="155" hidden="1" customWidth="1"/>
    <col min="136" max="136" width="10" style="155" hidden="1" customWidth="1"/>
    <col min="137" max="137" width="9.88671875" style="152" hidden="1" customWidth="1"/>
    <col min="138" max="146" width="10.88671875" style="152" hidden="1" customWidth="1"/>
    <col min="147" max="147" width="13" style="152" hidden="1" customWidth="1"/>
    <col min="148" max="148" width="9.109375" style="152" hidden="1" customWidth="1"/>
    <col min="149" max="149" width="15" style="152" customWidth="1"/>
    <col min="150" max="152" width="9.109375" style="152" customWidth="1"/>
    <col min="153" max="153" width="7.44140625" style="152" customWidth="1"/>
    <col min="154" max="16384" width="9.109375" style="152"/>
  </cols>
  <sheetData>
    <row r="1" spans="1:152" s="1" customFormat="1" ht="16.8" x14ac:dyDescent="0.25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J1" s="3"/>
      <c r="CL1" s="3"/>
      <c r="CR1" s="4"/>
      <c r="CS1" s="4"/>
      <c r="CT1" s="4"/>
      <c r="CV1" s="4"/>
      <c r="CW1" s="4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</row>
    <row r="2" spans="1:152" s="1" customFormat="1" ht="16.8" x14ac:dyDescent="0.25">
      <c r="B2" s="6" t="str">
        <f>[1]Overtime!A3</f>
        <v>Jul 2026/ Tháng 07 năm 2026 (26 Jun 26 - 25 Jul 26)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J2" s="3"/>
      <c r="CL2" s="3"/>
      <c r="CR2" s="4"/>
      <c r="CS2" s="4"/>
      <c r="CT2" s="4"/>
      <c r="CV2" s="4"/>
      <c r="CW2" s="4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</row>
    <row r="3" spans="1:152" s="1" customFormat="1" ht="10.8" x14ac:dyDescent="0.25">
      <c r="B3" s="7" t="s">
        <v>1</v>
      </c>
      <c r="C3" s="7"/>
      <c r="D3" s="7"/>
      <c r="E3" s="7"/>
      <c r="F3" s="7"/>
      <c r="G3" s="7"/>
      <c r="H3" s="7"/>
      <c r="I3" s="7"/>
      <c r="J3" s="8">
        <v>26</v>
      </c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3"/>
      <c r="AL3" s="10"/>
      <c r="AM3" s="12"/>
      <c r="AN3" s="14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5"/>
      <c r="BF3" s="16"/>
      <c r="BG3" s="16"/>
      <c r="BH3" s="10"/>
      <c r="BI3" s="12"/>
      <c r="BJ3" s="12"/>
      <c r="BK3" s="12"/>
      <c r="BL3" s="12"/>
      <c r="BM3" s="12"/>
      <c r="BN3" s="12"/>
      <c r="BO3" s="17"/>
      <c r="BP3" s="14"/>
      <c r="BQ3" s="17"/>
      <c r="BR3" s="17"/>
      <c r="BS3" s="17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J3" s="3" t="s">
        <v>2</v>
      </c>
      <c r="CK3" s="1">
        <v>27</v>
      </c>
      <c r="CL3" s="3"/>
      <c r="CR3" s="4"/>
      <c r="CS3" s="4"/>
      <c r="CT3" s="4"/>
      <c r="CV3" s="18">
        <v>46234</v>
      </c>
      <c r="CW3" s="19">
        <v>26</v>
      </c>
      <c r="CX3" s="14"/>
      <c r="CY3" s="14"/>
      <c r="CZ3" s="14"/>
      <c r="DA3" s="14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20">
        <v>5</v>
      </c>
      <c r="EC3" s="5"/>
      <c r="ED3" s="5"/>
      <c r="EE3" s="5"/>
      <c r="EF3" s="10"/>
      <c r="EG3" s="12"/>
      <c r="EH3" s="14"/>
      <c r="EI3" s="14"/>
      <c r="EJ3" s="14"/>
      <c r="EK3" s="14"/>
      <c r="EL3" s="14"/>
      <c r="EM3" s="14"/>
      <c r="EN3" s="14"/>
      <c r="EO3" s="14"/>
      <c r="EP3" s="14"/>
      <c r="EQ3" s="1">
        <v>2025</v>
      </c>
    </row>
    <row r="4" spans="1:152" s="1" customFormat="1" ht="10.8" hidden="1" x14ac:dyDescent="0.25">
      <c r="B4" s="21"/>
      <c r="C4" s="1">
        <v>1</v>
      </c>
      <c r="D4" s="8">
        <v>2</v>
      </c>
      <c r="E4" s="8"/>
      <c r="F4" s="8"/>
      <c r="G4" s="8"/>
      <c r="H4" s="22"/>
      <c r="I4" s="1">
        <v>3</v>
      </c>
      <c r="J4" s="8">
        <v>4</v>
      </c>
      <c r="K4" s="23">
        <v>5</v>
      </c>
      <c r="L4" s="22">
        <v>6</v>
      </c>
      <c r="M4" s="1">
        <v>7</v>
      </c>
      <c r="N4" s="22">
        <v>8</v>
      </c>
      <c r="O4" s="1">
        <v>9</v>
      </c>
      <c r="P4" s="22">
        <v>10</v>
      </c>
      <c r="Q4" s="1">
        <v>11</v>
      </c>
      <c r="R4" s="22">
        <v>12</v>
      </c>
      <c r="S4" s="1">
        <v>13</v>
      </c>
      <c r="X4" s="1">
        <v>15</v>
      </c>
      <c r="Y4" s="24">
        <v>20</v>
      </c>
      <c r="Z4" s="1">
        <v>21</v>
      </c>
      <c r="AA4" s="22">
        <v>22</v>
      </c>
      <c r="AB4" s="1">
        <v>23</v>
      </c>
      <c r="AC4" s="22">
        <v>24</v>
      </c>
      <c r="AD4" s="1">
        <v>25</v>
      </c>
      <c r="AE4" s="22">
        <v>26</v>
      </c>
      <c r="AF4" s="22"/>
      <c r="AG4" s="22"/>
      <c r="AH4" s="22"/>
      <c r="AI4" s="1">
        <v>27</v>
      </c>
      <c r="AJ4" s="22">
        <v>28</v>
      </c>
      <c r="AK4" s="25">
        <v>30</v>
      </c>
      <c r="AL4" s="1">
        <v>31</v>
      </c>
      <c r="AM4" s="22">
        <v>32</v>
      </c>
      <c r="AN4" s="1">
        <v>33</v>
      </c>
      <c r="AO4" s="1">
        <v>19</v>
      </c>
      <c r="AX4" s="22">
        <v>34</v>
      </c>
      <c r="AY4" s="22"/>
      <c r="AZ4" s="22"/>
      <c r="BA4" s="22"/>
      <c r="BB4" s="22"/>
      <c r="BC4" s="22"/>
      <c r="BD4" s="22"/>
      <c r="BE4" s="1">
        <v>35</v>
      </c>
      <c r="BF4" s="22">
        <v>36</v>
      </c>
      <c r="BG4" s="1">
        <v>37</v>
      </c>
      <c r="BH4" s="22">
        <v>38</v>
      </c>
      <c r="BI4" s="1">
        <v>39</v>
      </c>
      <c r="BJ4" s="22">
        <v>40</v>
      </c>
      <c r="BK4" s="1">
        <v>41</v>
      </c>
      <c r="BL4" s="22">
        <v>42</v>
      </c>
      <c r="BM4" s="1">
        <v>43</v>
      </c>
      <c r="BN4" s="22">
        <v>44</v>
      </c>
      <c r="BO4" s="1">
        <v>45</v>
      </c>
      <c r="BT4" s="22">
        <v>46</v>
      </c>
      <c r="BU4" s="22"/>
      <c r="BV4" s="22"/>
      <c r="BW4" s="22"/>
      <c r="BX4" s="22"/>
      <c r="BY4" s="1">
        <v>47</v>
      </c>
      <c r="BZ4" s="22">
        <v>48</v>
      </c>
      <c r="CA4" s="1">
        <v>49</v>
      </c>
      <c r="CG4" s="22">
        <v>50</v>
      </c>
      <c r="CH4" s="1">
        <v>51</v>
      </c>
      <c r="CI4" s="22">
        <v>52</v>
      </c>
      <c r="CJ4" s="25">
        <v>54</v>
      </c>
      <c r="CK4" s="1">
        <v>55</v>
      </c>
      <c r="CL4" s="25">
        <v>56</v>
      </c>
      <c r="CM4" s="1">
        <v>57</v>
      </c>
      <c r="CN4" s="22">
        <v>58</v>
      </c>
      <c r="CO4" s="1">
        <v>59</v>
      </c>
      <c r="CR4" s="4"/>
      <c r="CS4" s="4"/>
      <c r="CT4" s="4"/>
      <c r="CV4" s="4"/>
      <c r="CW4" s="4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1">
        <v>31</v>
      </c>
      <c r="EG4" s="22">
        <v>32</v>
      </c>
      <c r="EH4" s="1">
        <v>33</v>
      </c>
      <c r="EN4" s="1">
        <v>27</v>
      </c>
      <c r="EQ4" s="1">
        <v>37</v>
      </c>
      <c r="ES4" s="1">
        <v>50</v>
      </c>
      <c r="EU4" s="1">
        <v>50</v>
      </c>
    </row>
    <row r="5" spans="1:152" s="1" customFormat="1" ht="14.85" customHeight="1" x14ac:dyDescent="0.25">
      <c r="B5" s="26" t="s">
        <v>3</v>
      </c>
      <c r="C5" s="26" t="s">
        <v>4</v>
      </c>
      <c r="D5" s="26" t="s">
        <v>5</v>
      </c>
      <c r="E5" s="26" t="s">
        <v>6</v>
      </c>
      <c r="F5" s="27" t="s">
        <v>7</v>
      </c>
      <c r="G5" s="28"/>
      <c r="H5" s="29" t="s">
        <v>8</v>
      </c>
      <c r="I5" s="26" t="s">
        <v>9</v>
      </c>
      <c r="J5" s="26" t="s">
        <v>10</v>
      </c>
      <c r="K5" s="26" t="s">
        <v>11</v>
      </c>
      <c r="L5" s="30" t="s">
        <v>12</v>
      </c>
      <c r="M5" s="30" t="s">
        <v>13</v>
      </c>
      <c r="N5" s="30" t="s">
        <v>14</v>
      </c>
      <c r="O5" s="30"/>
      <c r="P5" s="30"/>
      <c r="Q5" s="30"/>
      <c r="R5" s="30"/>
      <c r="S5" s="30"/>
      <c r="T5" s="30"/>
      <c r="U5" s="30"/>
      <c r="V5" s="30"/>
      <c r="W5" s="30"/>
      <c r="X5" s="30"/>
      <c r="Y5" s="31" t="s">
        <v>15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 t="s">
        <v>16</v>
      </c>
      <c r="AL5" s="31"/>
      <c r="AM5" s="31"/>
      <c r="AN5" s="31"/>
      <c r="AO5" s="31" t="s">
        <v>17</v>
      </c>
      <c r="AP5" s="31" t="s">
        <v>18</v>
      </c>
      <c r="AQ5" s="31" t="s">
        <v>19</v>
      </c>
      <c r="AR5" s="31" t="s">
        <v>20</v>
      </c>
      <c r="AS5" s="32" t="s">
        <v>21</v>
      </c>
      <c r="AT5" s="31" t="s">
        <v>22</v>
      </c>
      <c r="AU5" s="31" t="s">
        <v>23</v>
      </c>
      <c r="AV5" s="31" t="s">
        <v>24</v>
      </c>
      <c r="AW5" s="31" t="s">
        <v>25</v>
      </c>
      <c r="AX5" s="31" t="s">
        <v>26</v>
      </c>
      <c r="AY5" s="31" t="s">
        <v>27</v>
      </c>
      <c r="AZ5" s="31" t="s">
        <v>28</v>
      </c>
      <c r="BA5" s="31" t="s">
        <v>29</v>
      </c>
      <c r="BB5" s="33"/>
      <c r="BC5" s="33"/>
      <c r="BD5" s="33"/>
      <c r="BE5" s="31" t="s">
        <v>30</v>
      </c>
      <c r="BF5" s="31" t="s">
        <v>31</v>
      </c>
      <c r="BG5" s="31" t="s">
        <v>32</v>
      </c>
      <c r="BH5" s="31" t="s">
        <v>33</v>
      </c>
      <c r="BI5" s="31"/>
      <c r="BJ5" s="31"/>
      <c r="BK5" s="31"/>
      <c r="BL5" s="31"/>
      <c r="BM5" s="31"/>
      <c r="BN5" s="31"/>
      <c r="BO5" s="31"/>
      <c r="BP5" s="34" t="s">
        <v>34</v>
      </c>
      <c r="BQ5" s="35"/>
      <c r="BR5" s="35"/>
      <c r="BS5" s="36"/>
      <c r="BT5" s="31" t="s">
        <v>35</v>
      </c>
      <c r="BU5" s="32" t="s">
        <v>36</v>
      </c>
      <c r="BV5" s="31" t="s">
        <v>37</v>
      </c>
      <c r="BW5" s="32" t="s">
        <v>38</v>
      </c>
      <c r="BX5" s="32" t="s">
        <v>39</v>
      </c>
      <c r="BY5" s="31" t="s">
        <v>40</v>
      </c>
      <c r="BZ5" s="31" t="s">
        <v>41</v>
      </c>
      <c r="CA5" s="31" t="s">
        <v>42</v>
      </c>
      <c r="CB5" s="31" t="s">
        <v>43</v>
      </c>
      <c r="CC5" s="31"/>
      <c r="CD5" s="31"/>
      <c r="CE5" s="31"/>
      <c r="CF5" s="31"/>
      <c r="CG5" s="31" t="s">
        <v>44</v>
      </c>
      <c r="CH5" s="31" t="s">
        <v>45</v>
      </c>
      <c r="CI5" s="31" t="s">
        <v>46</v>
      </c>
      <c r="CJ5" s="37" t="s">
        <v>47</v>
      </c>
      <c r="CK5" s="37"/>
      <c r="CL5" s="37" t="s">
        <v>48</v>
      </c>
      <c r="CM5" s="37"/>
      <c r="CN5" s="38" t="s">
        <v>49</v>
      </c>
      <c r="CO5" s="39" t="s">
        <v>50</v>
      </c>
      <c r="CP5" s="40" t="s">
        <v>51</v>
      </c>
      <c r="CQ5" s="40" t="s">
        <v>51</v>
      </c>
      <c r="CR5" s="41" t="s">
        <v>51</v>
      </c>
      <c r="CS5" s="40" t="s">
        <v>51</v>
      </c>
      <c r="CT5" s="40" t="s">
        <v>51</v>
      </c>
      <c r="CU5" s="41" t="s">
        <v>51</v>
      </c>
      <c r="CV5" s="40" t="s">
        <v>51</v>
      </c>
      <c r="CW5" s="40" t="s">
        <v>51</v>
      </c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Q5" s="1" t="s">
        <v>32</v>
      </c>
    </row>
    <row r="6" spans="1:152" s="23" customFormat="1" ht="69.75" customHeight="1" x14ac:dyDescent="0.25">
      <c r="B6" s="26"/>
      <c r="C6" s="26"/>
      <c r="D6" s="26"/>
      <c r="E6" s="26"/>
      <c r="F6" s="43"/>
      <c r="G6" s="44"/>
      <c r="H6" s="45"/>
      <c r="I6" s="26"/>
      <c r="J6" s="26"/>
      <c r="K6" s="26"/>
      <c r="L6" s="30"/>
      <c r="M6" s="30"/>
      <c r="N6" s="46" t="s">
        <v>52</v>
      </c>
      <c r="O6" s="46" t="s">
        <v>53</v>
      </c>
      <c r="P6" s="46" t="s">
        <v>54</v>
      </c>
      <c r="Q6" s="46" t="s">
        <v>55</v>
      </c>
      <c r="R6" s="46" t="s">
        <v>56</v>
      </c>
      <c r="S6" s="46" t="s">
        <v>57</v>
      </c>
      <c r="T6" s="46" t="s">
        <v>58</v>
      </c>
      <c r="U6" s="46" t="s">
        <v>59</v>
      </c>
      <c r="V6" s="46" t="s">
        <v>60</v>
      </c>
      <c r="W6" s="46" t="s">
        <v>61</v>
      </c>
      <c r="X6" s="46" t="s">
        <v>62</v>
      </c>
      <c r="Y6" s="33" t="s">
        <v>63</v>
      </c>
      <c r="Z6" s="46" t="s">
        <v>64</v>
      </c>
      <c r="AA6" s="46" t="s">
        <v>53</v>
      </c>
      <c r="AB6" s="46" t="s">
        <v>65</v>
      </c>
      <c r="AC6" s="46" t="s">
        <v>66</v>
      </c>
      <c r="AD6" s="46" t="s">
        <v>67</v>
      </c>
      <c r="AE6" s="46" t="s">
        <v>68</v>
      </c>
      <c r="AF6" s="46" t="s">
        <v>58</v>
      </c>
      <c r="AG6" s="46" t="s">
        <v>59</v>
      </c>
      <c r="AH6" s="46" t="s">
        <v>60</v>
      </c>
      <c r="AI6" s="46" t="s">
        <v>69</v>
      </c>
      <c r="AJ6" s="46" t="s">
        <v>62</v>
      </c>
      <c r="AK6" s="47" t="s">
        <v>70</v>
      </c>
      <c r="AL6" s="48" t="s">
        <v>71</v>
      </c>
      <c r="AM6" s="33" t="s">
        <v>72</v>
      </c>
      <c r="AN6" s="33" t="s">
        <v>73</v>
      </c>
      <c r="AO6" s="31"/>
      <c r="AP6" s="31"/>
      <c r="AQ6" s="31"/>
      <c r="AR6" s="31"/>
      <c r="AS6" s="49"/>
      <c r="AT6" s="31"/>
      <c r="AU6" s="31"/>
      <c r="AV6" s="31"/>
      <c r="AW6" s="31"/>
      <c r="AX6" s="31"/>
      <c r="AY6" s="31"/>
      <c r="AZ6" s="31"/>
      <c r="BA6" s="31"/>
      <c r="BB6" s="33"/>
      <c r="BC6" s="33"/>
      <c r="BD6" s="33"/>
      <c r="BE6" s="31"/>
      <c r="BF6" s="31"/>
      <c r="BG6" s="31"/>
      <c r="BH6" s="46" t="s">
        <v>74</v>
      </c>
      <c r="BI6" s="33" t="s">
        <v>75</v>
      </c>
      <c r="BJ6" s="33" t="s">
        <v>76</v>
      </c>
      <c r="BK6" s="33" t="s">
        <v>77</v>
      </c>
      <c r="BL6" s="33" t="s">
        <v>78</v>
      </c>
      <c r="BM6" s="33" t="s">
        <v>79</v>
      </c>
      <c r="BN6" s="33" t="s">
        <v>80</v>
      </c>
      <c r="BO6" s="33" t="s">
        <v>81</v>
      </c>
      <c r="BP6" s="33" t="s">
        <v>82</v>
      </c>
      <c r="BQ6" s="33" t="s">
        <v>83</v>
      </c>
      <c r="BR6" s="33" t="s">
        <v>76</v>
      </c>
      <c r="BS6" s="33" t="s">
        <v>84</v>
      </c>
      <c r="BT6" s="31"/>
      <c r="BU6" s="49"/>
      <c r="BV6" s="31"/>
      <c r="BW6" s="49"/>
      <c r="BX6" s="49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50" t="s">
        <v>85</v>
      </c>
      <c r="CK6" s="51" t="s">
        <v>86</v>
      </c>
      <c r="CL6" s="50" t="s">
        <v>87</v>
      </c>
      <c r="CM6" s="33" t="s">
        <v>86</v>
      </c>
      <c r="CN6" s="38"/>
      <c r="CO6" s="39"/>
      <c r="CP6" s="52"/>
      <c r="CQ6" s="52"/>
      <c r="CR6" s="53">
        <v>46218</v>
      </c>
      <c r="CS6" s="54"/>
      <c r="CT6" s="54"/>
      <c r="CU6" s="52"/>
      <c r="CV6" s="55" t="s">
        <v>88</v>
      </c>
      <c r="CW6" s="55" t="s">
        <v>89</v>
      </c>
      <c r="CX6" s="34" t="s">
        <v>90</v>
      </c>
      <c r="CY6" s="35"/>
      <c r="CZ6" s="35"/>
      <c r="DA6" s="36"/>
      <c r="DB6" s="56" t="s">
        <v>91</v>
      </c>
      <c r="DC6" s="57" t="s">
        <v>92</v>
      </c>
      <c r="DD6" s="57" t="s">
        <v>93</v>
      </c>
      <c r="DE6" s="57" t="s">
        <v>94</v>
      </c>
      <c r="DF6" s="57" t="s">
        <v>95</v>
      </c>
      <c r="DG6" s="57" t="s">
        <v>96</v>
      </c>
      <c r="DH6" s="57" t="s">
        <v>97</v>
      </c>
      <c r="DI6" s="57" t="s">
        <v>98</v>
      </c>
      <c r="DJ6" s="57" t="s">
        <v>99</v>
      </c>
      <c r="DK6" s="57" t="s">
        <v>100</v>
      </c>
      <c r="DL6" s="57" t="s">
        <v>101</v>
      </c>
      <c r="DM6" s="57" t="s">
        <v>102</v>
      </c>
      <c r="DN6" s="57" t="s">
        <v>103</v>
      </c>
      <c r="DO6" s="57" t="s">
        <v>104</v>
      </c>
      <c r="DP6" s="57" t="s">
        <v>105</v>
      </c>
      <c r="DQ6" s="57" t="s">
        <v>106</v>
      </c>
      <c r="DR6" s="57" t="s">
        <v>107</v>
      </c>
      <c r="DS6" s="57" t="s">
        <v>108</v>
      </c>
      <c r="DT6" s="57" t="s">
        <v>109</v>
      </c>
      <c r="DU6" s="57" t="s">
        <v>110</v>
      </c>
      <c r="DV6" s="57" t="s">
        <v>111</v>
      </c>
      <c r="DW6" s="57" t="s">
        <v>112</v>
      </c>
      <c r="DX6" s="56" t="s">
        <v>113</v>
      </c>
      <c r="DY6" s="56" t="s">
        <v>114</v>
      </c>
      <c r="DZ6" s="56" t="s">
        <v>115</v>
      </c>
      <c r="EA6" s="56" t="s">
        <v>116</v>
      </c>
      <c r="EB6" s="58" t="s">
        <v>117</v>
      </c>
      <c r="EC6" s="59"/>
      <c r="ED6" s="59"/>
      <c r="EE6" s="60"/>
      <c r="EF6" s="61" t="s">
        <v>118</v>
      </c>
      <c r="EG6" s="62"/>
      <c r="EH6" s="62"/>
      <c r="EI6" s="62"/>
      <c r="EJ6" s="62"/>
      <c r="EK6" s="62"/>
      <c r="EL6" s="62"/>
      <c r="EM6" s="63"/>
      <c r="EN6" s="34" t="s">
        <v>69</v>
      </c>
      <c r="EO6" s="35"/>
      <c r="EP6" s="36"/>
    </row>
    <row r="7" spans="1:152" s="64" customFormat="1" ht="24" customHeight="1" x14ac:dyDescent="0.25">
      <c r="B7" s="65"/>
      <c r="C7" s="65" t="s">
        <v>119</v>
      </c>
      <c r="D7" s="65" t="s">
        <v>120</v>
      </c>
      <c r="E7" s="65" t="s">
        <v>121</v>
      </c>
      <c r="F7" s="65"/>
      <c r="G7" s="65"/>
      <c r="H7" s="65" t="s">
        <v>122</v>
      </c>
      <c r="I7" s="65" t="s">
        <v>123</v>
      </c>
      <c r="J7" s="65" t="s">
        <v>124</v>
      </c>
      <c r="K7" s="65" t="s">
        <v>125</v>
      </c>
      <c r="L7" s="65" t="s">
        <v>109</v>
      </c>
      <c r="M7" s="65" t="s">
        <v>111</v>
      </c>
      <c r="N7" s="65" t="s">
        <v>126</v>
      </c>
      <c r="O7" s="65" t="s">
        <v>127</v>
      </c>
      <c r="P7" s="65" t="s">
        <v>128</v>
      </c>
      <c r="Q7" s="65" t="s">
        <v>129</v>
      </c>
      <c r="R7" s="65" t="s">
        <v>130</v>
      </c>
      <c r="S7" s="65" t="s">
        <v>131</v>
      </c>
      <c r="T7" s="65" t="s">
        <v>132</v>
      </c>
      <c r="U7" s="65" t="s">
        <v>133</v>
      </c>
      <c r="V7" s="65" t="s">
        <v>134</v>
      </c>
      <c r="W7" s="65" t="s">
        <v>135</v>
      </c>
      <c r="X7" s="65" t="s">
        <v>136</v>
      </c>
      <c r="Y7" s="65" t="s">
        <v>137</v>
      </c>
      <c r="Z7" s="65" t="s">
        <v>138</v>
      </c>
      <c r="AA7" s="65" t="s">
        <v>139</v>
      </c>
      <c r="AB7" s="65" t="s">
        <v>140</v>
      </c>
      <c r="AC7" s="65" t="s">
        <v>141</v>
      </c>
      <c r="AD7" s="65" t="s">
        <v>142</v>
      </c>
      <c r="AE7" s="65" t="s">
        <v>143</v>
      </c>
      <c r="AF7" s="65" t="s">
        <v>132</v>
      </c>
      <c r="AG7" s="65" t="s">
        <v>133</v>
      </c>
      <c r="AH7" s="65" t="s">
        <v>134</v>
      </c>
      <c r="AI7" s="65" t="s">
        <v>144</v>
      </c>
      <c r="AJ7" s="65" t="s">
        <v>145</v>
      </c>
      <c r="AK7" s="66" t="s">
        <v>146</v>
      </c>
      <c r="AL7" s="67">
        <v>1</v>
      </c>
      <c r="AM7" s="65" t="s">
        <v>147</v>
      </c>
      <c r="AN7" s="65" t="s">
        <v>148</v>
      </c>
      <c r="AO7" s="65" t="s">
        <v>149</v>
      </c>
      <c r="AP7" s="65" t="s">
        <v>150</v>
      </c>
      <c r="AQ7" s="65" t="s">
        <v>151</v>
      </c>
      <c r="AR7" s="65" t="s">
        <v>152</v>
      </c>
      <c r="AS7" s="68" t="s">
        <v>153</v>
      </c>
      <c r="AT7" s="65" t="s">
        <v>154</v>
      </c>
      <c r="AU7" s="65"/>
      <c r="AV7" s="69">
        <v>0.215</v>
      </c>
      <c r="AW7" s="65" t="s">
        <v>155</v>
      </c>
      <c r="AX7" s="65" t="s">
        <v>156</v>
      </c>
      <c r="AY7" s="65" t="s">
        <v>157</v>
      </c>
      <c r="AZ7" s="65" t="s">
        <v>158</v>
      </c>
      <c r="BA7" s="65" t="s">
        <v>159</v>
      </c>
      <c r="BB7" s="65"/>
      <c r="BC7" s="65"/>
      <c r="BD7" s="65"/>
      <c r="BE7" s="65" t="s">
        <v>160</v>
      </c>
      <c r="BF7" s="65" t="s">
        <v>161</v>
      </c>
      <c r="BG7" s="65" t="s">
        <v>162</v>
      </c>
      <c r="BH7" s="65" t="s">
        <v>163</v>
      </c>
      <c r="BI7" s="65" t="s">
        <v>164</v>
      </c>
      <c r="BJ7" s="65" t="s">
        <v>165</v>
      </c>
      <c r="BK7" s="65" t="s">
        <v>166</v>
      </c>
      <c r="BL7" s="65" t="s">
        <v>167</v>
      </c>
      <c r="BM7" s="65" t="s">
        <v>168</v>
      </c>
      <c r="BN7" s="65" t="s">
        <v>169</v>
      </c>
      <c r="BO7" s="65" t="s">
        <v>170</v>
      </c>
      <c r="BP7" s="65" t="s">
        <v>171</v>
      </c>
      <c r="BQ7" s="65" t="s">
        <v>172</v>
      </c>
      <c r="BR7" s="65" t="s">
        <v>165</v>
      </c>
      <c r="BS7" s="65" t="s">
        <v>173</v>
      </c>
      <c r="BT7" s="65" t="s">
        <v>174</v>
      </c>
      <c r="BU7" s="65" t="s">
        <v>175</v>
      </c>
      <c r="BV7" s="65" t="s">
        <v>176</v>
      </c>
      <c r="BW7" s="65" t="s">
        <v>177</v>
      </c>
      <c r="BX7" s="65" t="s">
        <v>178</v>
      </c>
      <c r="BY7" s="65" t="s">
        <v>179</v>
      </c>
      <c r="BZ7" s="65" t="s">
        <v>180</v>
      </c>
      <c r="CA7" s="65" t="s">
        <v>181</v>
      </c>
      <c r="CB7" s="70" t="s">
        <v>182</v>
      </c>
      <c r="CC7" s="70"/>
      <c r="CD7" s="65"/>
      <c r="CE7" s="65"/>
      <c r="CF7" s="65"/>
      <c r="CG7" s="65" t="s">
        <v>183</v>
      </c>
      <c r="CH7" s="65" t="s">
        <v>45</v>
      </c>
      <c r="CI7" s="65" t="s">
        <v>46</v>
      </c>
      <c r="CJ7" s="66" t="s">
        <v>47</v>
      </c>
      <c r="CK7" s="65" t="s">
        <v>184</v>
      </c>
      <c r="CL7" s="66" t="s">
        <v>185</v>
      </c>
      <c r="CM7" s="65" t="s">
        <v>186</v>
      </c>
      <c r="CN7" s="65" t="s">
        <v>49</v>
      </c>
      <c r="CO7" s="71" t="s">
        <v>50</v>
      </c>
      <c r="CP7" s="72" t="s">
        <v>187</v>
      </c>
      <c r="CQ7" s="72" t="s">
        <v>188</v>
      </c>
      <c r="CR7" s="73" t="s">
        <v>189</v>
      </c>
      <c r="CS7" s="55" t="s">
        <v>190</v>
      </c>
      <c r="CT7" s="55" t="s">
        <v>191</v>
      </c>
      <c r="CU7" s="72" t="s">
        <v>192</v>
      </c>
      <c r="CV7" s="55" t="s">
        <v>193</v>
      </c>
      <c r="CW7" s="55" t="s">
        <v>194</v>
      </c>
      <c r="CX7" s="74" t="s">
        <v>195</v>
      </c>
      <c r="CY7" s="74" t="s">
        <v>196</v>
      </c>
      <c r="CZ7" s="74"/>
      <c r="DA7" s="65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>
        <v>0.17499999999999999</v>
      </c>
      <c r="DU7" s="56">
        <v>0.03</v>
      </c>
      <c r="DV7" s="56">
        <v>0.01</v>
      </c>
      <c r="DW7" s="56">
        <v>0.02</v>
      </c>
      <c r="DX7" s="75" t="s">
        <v>113</v>
      </c>
      <c r="DY7" s="75" t="s">
        <v>114</v>
      </c>
      <c r="DZ7" s="75" t="s">
        <v>115</v>
      </c>
      <c r="EA7" s="75" t="s">
        <v>116</v>
      </c>
      <c r="EB7" s="75" t="s">
        <v>197</v>
      </c>
      <c r="EC7" s="75" t="s">
        <v>198</v>
      </c>
      <c r="ED7" s="75" t="s">
        <v>199</v>
      </c>
      <c r="EE7" s="75" t="s">
        <v>200</v>
      </c>
      <c r="EF7" s="65" t="s">
        <v>201</v>
      </c>
      <c r="EG7" s="65" t="s">
        <v>202</v>
      </c>
      <c r="EH7" s="65" t="s">
        <v>148</v>
      </c>
      <c r="EI7" s="65" t="s">
        <v>203</v>
      </c>
      <c r="EJ7" s="65"/>
      <c r="EK7" s="65" t="s">
        <v>204</v>
      </c>
      <c r="EL7" s="65" t="s">
        <v>205</v>
      </c>
      <c r="EM7" s="65" t="s">
        <v>206</v>
      </c>
      <c r="EN7" s="65" t="s">
        <v>144</v>
      </c>
      <c r="EO7" s="33" t="s">
        <v>207</v>
      </c>
      <c r="EP7" s="33" t="s">
        <v>207</v>
      </c>
      <c r="EQ7" s="64" t="s">
        <v>162</v>
      </c>
      <c r="ER7" s="64" t="s">
        <v>208</v>
      </c>
    </row>
    <row r="8" spans="1:152" s="76" customFormat="1" ht="31.5" customHeight="1" x14ac:dyDescent="0.25">
      <c r="B8" s="77" t="s">
        <v>209</v>
      </c>
      <c r="C8" s="77"/>
      <c r="D8" s="78"/>
      <c r="E8" s="78"/>
      <c r="F8" s="78"/>
      <c r="G8" s="78"/>
      <c r="H8" s="79"/>
      <c r="I8" s="79"/>
      <c r="J8" s="78"/>
      <c r="K8" s="80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2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3"/>
      <c r="CY8" s="83"/>
      <c r="CZ8" s="83"/>
      <c r="DA8" s="81"/>
      <c r="DB8" s="81"/>
      <c r="DC8" s="81"/>
      <c r="DD8" s="81"/>
      <c r="DE8" s="81"/>
      <c r="DF8" s="81"/>
      <c r="DG8" s="81"/>
      <c r="DH8" s="81"/>
      <c r="DI8" s="81"/>
      <c r="DJ8" s="81"/>
      <c r="DK8" s="81"/>
      <c r="DL8" s="81"/>
      <c r="DM8" s="81"/>
      <c r="DN8" s="81"/>
      <c r="DO8" s="81"/>
      <c r="DP8" s="81"/>
      <c r="DQ8" s="81"/>
      <c r="DR8" s="81"/>
      <c r="DS8" s="81"/>
      <c r="DT8" s="81"/>
      <c r="DU8" s="81"/>
      <c r="DV8" s="81"/>
      <c r="DW8" s="81"/>
      <c r="DX8" s="81"/>
      <c r="DY8" s="81"/>
      <c r="DZ8" s="81"/>
      <c r="EA8" s="81"/>
      <c r="EB8" s="81"/>
      <c r="EC8" s="81"/>
      <c r="ED8" s="81"/>
      <c r="EE8" s="81"/>
      <c r="EF8" s="81"/>
      <c r="EG8" s="81"/>
      <c r="EH8" s="81"/>
      <c r="EI8" s="81"/>
      <c r="EJ8" s="81"/>
      <c r="EK8" s="81"/>
      <c r="EL8" s="81"/>
      <c r="EM8" s="81"/>
      <c r="EN8" s="81"/>
      <c r="EO8" s="81"/>
      <c r="EP8" s="81"/>
    </row>
    <row r="9" spans="1:152" s="76" customFormat="1" ht="27.75" customHeight="1" x14ac:dyDescent="0.25">
      <c r="B9" s="77" t="s">
        <v>210</v>
      </c>
      <c r="C9" s="84"/>
      <c r="D9" s="84"/>
      <c r="E9" s="84"/>
      <c r="F9" s="84"/>
      <c r="G9" s="84"/>
      <c r="H9" s="84"/>
      <c r="I9" s="84"/>
      <c r="J9" s="84"/>
      <c r="K9" s="84"/>
      <c r="L9" s="85">
        <f t="shared" ref="L9:BW9" si="0">SUM(L10:L25)</f>
        <v>107550000</v>
      </c>
      <c r="M9" s="85">
        <f t="shared" si="0"/>
        <v>107550000</v>
      </c>
      <c r="N9" s="85">
        <f t="shared" si="0"/>
        <v>83950000</v>
      </c>
      <c r="O9" s="85">
        <f t="shared" si="0"/>
        <v>7400000</v>
      </c>
      <c r="P9" s="85">
        <f t="shared" si="0"/>
        <v>0</v>
      </c>
      <c r="Q9" s="85">
        <f t="shared" si="0"/>
        <v>0</v>
      </c>
      <c r="R9" s="85">
        <f t="shared" si="0"/>
        <v>4800000</v>
      </c>
      <c r="S9" s="85">
        <f t="shared" si="0"/>
        <v>0</v>
      </c>
      <c r="T9" s="85">
        <f t="shared" si="0"/>
        <v>0</v>
      </c>
      <c r="U9" s="85">
        <f t="shared" si="0"/>
        <v>0</v>
      </c>
      <c r="V9" s="85">
        <f t="shared" si="0"/>
        <v>200000</v>
      </c>
      <c r="W9" s="85">
        <f t="shared" si="0"/>
        <v>16000000</v>
      </c>
      <c r="X9" s="85">
        <f t="shared" si="0"/>
        <v>0</v>
      </c>
      <c r="Y9" s="85">
        <f t="shared" si="0"/>
        <v>34.4</v>
      </c>
      <c r="Z9" s="85">
        <f t="shared" si="0"/>
        <v>6855769</v>
      </c>
      <c r="AA9" s="85">
        <f t="shared" si="0"/>
        <v>754614</v>
      </c>
      <c r="AB9" s="85">
        <f t="shared" si="0"/>
        <v>0</v>
      </c>
      <c r="AC9" s="85">
        <f t="shared" si="0"/>
        <v>0</v>
      </c>
      <c r="AD9" s="85">
        <f t="shared" si="0"/>
        <v>415383</v>
      </c>
      <c r="AE9" s="85">
        <f t="shared" si="0"/>
        <v>0</v>
      </c>
      <c r="AF9" s="85">
        <f t="shared" si="0"/>
        <v>0</v>
      </c>
      <c r="AG9" s="85">
        <f t="shared" si="0"/>
        <v>0</v>
      </c>
      <c r="AH9" s="85">
        <f t="shared" si="0"/>
        <v>26923</v>
      </c>
      <c r="AI9" s="85">
        <f t="shared" si="0"/>
        <v>0</v>
      </c>
      <c r="AJ9" s="85">
        <f t="shared" si="0"/>
        <v>0</v>
      </c>
      <c r="AK9" s="85">
        <f t="shared" si="0"/>
        <v>18.100000000000001</v>
      </c>
      <c r="AL9" s="85">
        <f t="shared" si="0"/>
        <v>574904</v>
      </c>
      <c r="AM9" s="85">
        <f t="shared" si="0"/>
        <v>287452</v>
      </c>
      <c r="AN9" s="85">
        <f t="shared" si="0"/>
        <v>862356</v>
      </c>
      <c r="AO9" s="85">
        <f t="shared" si="0"/>
        <v>0</v>
      </c>
      <c r="AP9" s="85">
        <f t="shared" si="0"/>
        <v>0</v>
      </c>
      <c r="AQ9" s="85">
        <f t="shared" si="0"/>
        <v>0</v>
      </c>
      <c r="AR9" s="85">
        <f t="shared" si="0"/>
        <v>0</v>
      </c>
      <c r="AS9" s="85">
        <f t="shared" si="0"/>
        <v>80000</v>
      </c>
      <c r="AT9" s="85">
        <f t="shared" si="0"/>
        <v>0</v>
      </c>
      <c r="AU9" s="85">
        <f t="shared" si="0"/>
        <v>0</v>
      </c>
      <c r="AV9" s="85">
        <f t="shared" si="0"/>
        <v>0</v>
      </c>
      <c r="AW9" s="85">
        <f t="shared" si="0"/>
        <v>820371</v>
      </c>
      <c r="AX9" s="85">
        <f t="shared" si="0"/>
        <v>1255770</v>
      </c>
      <c r="AY9" s="85">
        <f t="shared" si="0"/>
        <v>0</v>
      </c>
      <c r="AZ9" s="85">
        <f t="shared" si="0"/>
        <v>0</v>
      </c>
      <c r="BA9" s="85">
        <f t="shared" si="0"/>
        <v>0</v>
      </c>
      <c r="BB9" s="85">
        <f t="shared" si="0"/>
        <v>0</v>
      </c>
      <c r="BC9" s="85">
        <f t="shared" si="0"/>
        <v>0</v>
      </c>
      <c r="BD9" s="85">
        <f t="shared" si="0"/>
        <v>0</v>
      </c>
      <c r="BE9" s="85">
        <f t="shared" si="0"/>
        <v>11071186</v>
      </c>
      <c r="BF9" s="85">
        <f t="shared" si="0"/>
        <v>0</v>
      </c>
      <c r="BG9" s="85">
        <f t="shared" si="0"/>
        <v>0</v>
      </c>
      <c r="BH9" s="85">
        <f t="shared" si="0"/>
        <v>0</v>
      </c>
      <c r="BI9" s="85">
        <f t="shared" si="0"/>
        <v>300000</v>
      </c>
      <c r="BJ9" s="85">
        <f t="shared" si="0"/>
        <v>0</v>
      </c>
      <c r="BK9" s="85">
        <f t="shared" si="0"/>
        <v>0</v>
      </c>
      <c r="BL9" s="85">
        <f t="shared" si="0"/>
        <v>9388459</v>
      </c>
      <c r="BM9" s="85">
        <f t="shared" si="0"/>
        <v>9388459</v>
      </c>
      <c r="BN9" s="85">
        <f t="shared" si="0"/>
        <v>0</v>
      </c>
      <c r="BO9" s="85">
        <f t="shared" si="0"/>
        <v>300000</v>
      </c>
      <c r="BP9" s="85">
        <f t="shared" si="0"/>
        <v>0</v>
      </c>
      <c r="BQ9" s="85">
        <f t="shared" si="0"/>
        <v>600000</v>
      </c>
      <c r="BR9" s="85">
        <f t="shared" si="0"/>
        <v>0</v>
      </c>
      <c r="BS9" s="85">
        <f t="shared" si="0"/>
        <v>0</v>
      </c>
      <c r="BT9" s="85">
        <f t="shared" si="0"/>
        <v>0</v>
      </c>
      <c r="BU9" s="85">
        <f t="shared" si="0"/>
        <v>0</v>
      </c>
      <c r="BV9" s="85">
        <f t="shared" si="0"/>
        <v>0</v>
      </c>
      <c r="BW9" s="85">
        <f t="shared" si="0"/>
        <v>0</v>
      </c>
      <c r="BX9" s="85">
        <f t="shared" ref="BX9:EI9" si="1">SUM(BX10:BX25)</f>
        <v>0</v>
      </c>
      <c r="BY9" s="85">
        <f t="shared" si="1"/>
        <v>0</v>
      </c>
      <c r="BZ9" s="85">
        <f t="shared" si="1"/>
        <v>0</v>
      </c>
      <c r="CA9" s="85">
        <f t="shared" si="1"/>
        <v>0</v>
      </c>
      <c r="CB9" s="85">
        <f t="shared" si="1"/>
        <v>546065</v>
      </c>
      <c r="CC9" s="85">
        <f t="shared" si="1"/>
        <v>0</v>
      </c>
      <c r="CD9" s="85">
        <f t="shared" si="1"/>
        <v>0</v>
      </c>
      <c r="CE9" s="85">
        <f t="shared" si="1"/>
        <v>0</v>
      </c>
      <c r="CF9" s="85">
        <f t="shared" si="1"/>
        <v>0</v>
      </c>
      <c r="CG9" s="85">
        <f t="shared" si="1"/>
        <v>10225121</v>
      </c>
      <c r="CH9" s="85">
        <f t="shared" si="1"/>
        <v>11125121</v>
      </c>
      <c r="CI9" s="85">
        <f t="shared" si="1"/>
        <v>0</v>
      </c>
      <c r="CJ9" s="86">
        <f t="shared" si="1"/>
        <v>3.3000000000000003</v>
      </c>
      <c r="CK9" s="85">
        <f t="shared" si="1"/>
        <v>820371</v>
      </c>
      <c r="CL9" s="85">
        <f t="shared" si="1"/>
        <v>39</v>
      </c>
      <c r="CM9" s="85">
        <f t="shared" si="1"/>
        <v>1255770</v>
      </c>
      <c r="CN9" s="85">
        <f t="shared" si="1"/>
        <v>0</v>
      </c>
      <c r="CO9" s="85">
        <f t="shared" si="1"/>
        <v>2076141</v>
      </c>
      <c r="CP9" s="85">
        <f t="shared" si="1"/>
        <v>738113</v>
      </c>
      <c r="CQ9" s="85">
        <f t="shared" si="1"/>
        <v>738593</v>
      </c>
      <c r="CR9" s="85">
        <f t="shared" si="1"/>
        <v>739288</v>
      </c>
      <c r="CS9" s="85">
        <f t="shared" si="1"/>
        <v>0</v>
      </c>
      <c r="CT9" s="85">
        <f t="shared" si="1"/>
        <v>0</v>
      </c>
      <c r="CU9" s="85">
        <f t="shared" si="1"/>
        <v>0</v>
      </c>
      <c r="CV9" s="85">
        <f t="shared" si="1"/>
        <v>0</v>
      </c>
      <c r="CW9" s="85">
        <f t="shared" si="1"/>
        <v>0</v>
      </c>
      <c r="CX9" s="85">
        <f t="shared" si="1"/>
        <v>0</v>
      </c>
      <c r="CY9" s="85">
        <f t="shared" si="1"/>
        <v>0</v>
      </c>
      <c r="CZ9" s="85">
        <f t="shared" si="1"/>
        <v>0</v>
      </c>
      <c r="DA9" s="85">
        <f t="shared" si="1"/>
        <v>0</v>
      </c>
      <c r="DB9" s="85">
        <f t="shared" si="1"/>
        <v>0</v>
      </c>
      <c r="DC9" s="85">
        <f t="shared" si="1"/>
        <v>0</v>
      </c>
      <c r="DD9" s="85">
        <f t="shared" si="1"/>
        <v>0</v>
      </c>
      <c r="DE9" s="85">
        <f t="shared" si="1"/>
        <v>4</v>
      </c>
      <c r="DF9" s="85">
        <f t="shared" si="1"/>
        <v>-400000</v>
      </c>
      <c r="DG9" s="85">
        <f t="shared" si="1"/>
        <v>31</v>
      </c>
      <c r="DH9" s="85">
        <f t="shared" si="1"/>
        <v>-6400000</v>
      </c>
      <c r="DI9" s="85">
        <f t="shared" si="1"/>
        <v>0</v>
      </c>
      <c r="DJ9" s="85">
        <f t="shared" si="1"/>
        <v>1323078.3076923077</v>
      </c>
      <c r="DK9" s="85">
        <f t="shared" si="1"/>
        <v>-6800000</v>
      </c>
      <c r="DL9" s="85">
        <f t="shared" si="1"/>
        <v>0</v>
      </c>
      <c r="DM9" s="85">
        <f t="shared" si="1"/>
        <v>0</v>
      </c>
      <c r="DN9" s="85">
        <f t="shared" si="1"/>
        <v>0</v>
      </c>
      <c r="DO9" s="85">
        <f t="shared" si="1"/>
        <v>13</v>
      </c>
      <c r="DP9" s="85">
        <f t="shared" si="1"/>
        <v>13</v>
      </c>
      <c r="DQ9" s="85">
        <f t="shared" si="1"/>
        <v>324</v>
      </c>
      <c r="DR9" s="85">
        <f t="shared" si="1"/>
        <v>0</v>
      </c>
      <c r="DS9" s="85">
        <f t="shared" si="1"/>
        <v>0</v>
      </c>
      <c r="DT9" s="85">
        <f t="shared" si="1"/>
        <v>0</v>
      </c>
      <c r="DU9" s="85">
        <f t="shared" si="1"/>
        <v>600000</v>
      </c>
      <c r="DV9" s="85">
        <f t="shared" si="1"/>
        <v>0</v>
      </c>
      <c r="DW9" s="85">
        <f t="shared" si="1"/>
        <v>0</v>
      </c>
      <c r="DX9" s="85">
        <f t="shared" si="1"/>
        <v>112350000</v>
      </c>
      <c r="DY9" s="85">
        <f t="shared" si="1"/>
        <v>12200000</v>
      </c>
      <c r="DZ9" s="85">
        <f t="shared" si="1"/>
        <v>16000000</v>
      </c>
      <c r="EA9" s="85">
        <f t="shared" si="1"/>
        <v>31</v>
      </c>
      <c r="EB9" s="85">
        <f t="shared" si="1"/>
        <v>0</v>
      </c>
      <c r="EC9" s="85">
        <f t="shared" si="1"/>
        <v>0</v>
      </c>
      <c r="ED9" s="85">
        <f t="shared" si="1"/>
        <v>0</v>
      </c>
      <c r="EE9" s="85">
        <f t="shared" si="1"/>
        <v>0</v>
      </c>
      <c r="EF9" s="85">
        <f t="shared" si="1"/>
        <v>574904</v>
      </c>
      <c r="EG9" s="85">
        <f t="shared" si="1"/>
        <v>287452</v>
      </c>
      <c r="EH9" s="85">
        <f t="shared" si="1"/>
        <v>862356</v>
      </c>
      <c r="EI9" s="85">
        <f t="shared" si="1"/>
        <v>0</v>
      </c>
      <c r="EJ9" s="85">
        <f t="shared" ref="EJ9:EP9" si="2">SUM(EJ10:EJ25)</f>
        <v>0</v>
      </c>
      <c r="EK9" s="85">
        <f t="shared" si="2"/>
        <v>862356</v>
      </c>
      <c r="EL9" s="85">
        <f t="shared" si="2"/>
        <v>0</v>
      </c>
      <c r="EM9" s="85">
        <f t="shared" si="2"/>
        <v>0</v>
      </c>
      <c r="EN9" s="85">
        <f t="shared" si="2"/>
        <v>1323078</v>
      </c>
      <c r="EO9" s="85">
        <f t="shared" si="2"/>
        <v>0.30769230771693401</v>
      </c>
      <c r="EP9" s="85">
        <f t="shared" si="2"/>
        <v>0</v>
      </c>
      <c r="EQ9" s="87">
        <v>1315600000</v>
      </c>
      <c r="ER9" s="87"/>
      <c r="ET9" s="87"/>
      <c r="EU9" s="88"/>
      <c r="EV9" s="87"/>
    </row>
    <row r="10" spans="1:152" s="107" customFormat="1" ht="27.75" customHeight="1" x14ac:dyDescent="0.25">
      <c r="A10" s="89"/>
      <c r="B10" s="90">
        <v>1</v>
      </c>
      <c r="C10" s="91" t="s">
        <v>211</v>
      </c>
      <c r="D10" s="92" t="s">
        <v>212</v>
      </c>
      <c r="E10" s="92" t="str">
        <f t="shared" ref="E10:E25" si="3">IF(CW10="x","Probation",IF(CR10&gt;0,"Resigned - Official","Official"))</f>
        <v>Resigned - Official</v>
      </c>
      <c r="F10" s="93">
        <f t="shared" ref="F10:F25" si="4">IF(H10="management","6421.11",0)</f>
        <v>0</v>
      </c>
      <c r="G10" s="92" t="s">
        <v>213</v>
      </c>
      <c r="H10" s="91" t="s">
        <v>214</v>
      </c>
      <c r="I10" s="94" t="s">
        <v>215</v>
      </c>
      <c r="J10" s="95" t="s">
        <v>213</v>
      </c>
      <c r="K10" s="95" t="s">
        <v>216</v>
      </c>
      <c r="L10" s="96">
        <f t="shared" ref="L10:L25" si="5">M10</f>
        <v>6800000</v>
      </c>
      <c r="M10" s="97">
        <f t="shared" ref="M10:M25" si="6">N10+O10+P10+W10+X10+T10+U10+V10</f>
        <v>6800000</v>
      </c>
      <c r="N10" s="97">
        <v>5000000</v>
      </c>
      <c r="O10" s="97">
        <v>800000</v>
      </c>
      <c r="P10" s="97">
        <v>0</v>
      </c>
      <c r="Q10" s="97">
        <v>0</v>
      </c>
      <c r="R10" s="97">
        <v>300000</v>
      </c>
      <c r="S10" s="97">
        <v>0</v>
      </c>
      <c r="T10" s="97">
        <v>0</v>
      </c>
      <c r="U10" s="97">
        <v>0</v>
      </c>
      <c r="V10" s="97">
        <v>0</v>
      </c>
      <c r="W10" s="97">
        <v>1000000</v>
      </c>
      <c r="X10" s="97">
        <v>0</v>
      </c>
      <c r="Y10" s="98">
        <f>_xlfn.XLOOKUP(C10,[1]Timesheet!$B$9:$B$25,[1]Timesheet!$AO$9:$AO$25,0,,1)</f>
        <v>7.9</v>
      </c>
      <c r="Z10" s="99">
        <f t="shared" ref="Z10:Z25" si="7">ROUND(N10/$J$3*Y10,0)</f>
        <v>1519231</v>
      </c>
      <c r="AA10" s="99">
        <f>ROUND(O10/$J$3*(Y10+_xlfn.XLOOKUP(C10,[1]Timesheet!B:B,[1]Timesheet!BS:BS,0)),0)</f>
        <v>243077</v>
      </c>
      <c r="AB10" s="99">
        <f>ROUND(IF(Y10&gt;=8,P10,(P10/$J$3)*(Y10+_xlfn.XLOOKUP(C10,[1]Timesheet!B:B,[1]Timesheet!BS:BS,0))),0)</f>
        <v>0</v>
      </c>
      <c r="AC10" s="99">
        <f t="shared" ref="AC10:AC25" si="8">ROUND(IF(Y10&gt;=14,Q10,(Q10/2)),0)</f>
        <v>0</v>
      </c>
      <c r="AD10" s="99">
        <f>IF(_xlfn.XLOOKUP(Salary!C10,[1]Bus!B:B,[1]Bus!G:G,"",,-1)=1,0,ROUND((R10/$J$3)*ROUND(Y10+_xlfn.XLOOKUP(C10,[1]Timesheet!B:B,[1]Timesheet!BS:BS,0,,-1),0),0))</f>
        <v>92308</v>
      </c>
      <c r="AE10" s="99">
        <f t="shared" ref="AE10:AE25" si="9">IF(Y10&gt;0,S10,0)</f>
        <v>0</v>
      </c>
      <c r="AF10" s="99">
        <f>ROUND(IF(Y10&gt;=8,T10,(T10/$J$3)*(Y10+_xlfn.XLOOKUP(C10,[1]Timesheet!B:B,[1]Timesheet!BS:BS,0))),0)</f>
        <v>0</v>
      </c>
      <c r="AG10" s="99">
        <f>ROUND(IF(Y10&gt;=8,U10,(U10/$J$3)*(Y10+_xlfn.XLOOKUP(C10,[1]Timesheet!B:B,[1]Timesheet!BS:BS,0))),0)</f>
        <v>0</v>
      </c>
      <c r="AH10" s="99">
        <f>ROUND(IF(OR(CR10&gt;0,Y10&lt;8),(V10/$J$3)*(Y10+_xlfn.XLOOKUP(C10,[1]Timesheet!B:B,[1]Timesheet!BS:BS,0)),V10),0)</f>
        <v>0</v>
      </c>
      <c r="AI10" s="99">
        <f t="shared" ref="AI10:AI25" si="10">ROUND(IF(DAY(CR10)=26,IF(Y10=0,0,IF(W10=0,0,IF(OR(-(DK10)&gt;DJ10,-(DK10)=DJ10),0,DJ10+DK10+DS10))),IF(CR10&gt;0,0,IF(Y10=0,0,IF(W10=0,0,IF(OR(-(DK10)&gt;DJ10,-(DK10)=DJ10),0,DJ10+DK10+DS10))))),0)</f>
        <v>0</v>
      </c>
      <c r="AJ10" s="99">
        <f>IF(Y10&gt;0,ROUND(IF(LEN(CR10)&gt;2,(X10/$J$3)*(Y10+_xlfn.XLOOKUP(C10,[1]Timesheet!B:B,[1]Timesheet!BS:BS,0)),X10),0),0)</f>
        <v>0</v>
      </c>
      <c r="AK10" s="98">
        <f>_xlfn.XLOOKUP(C10,[1]Overtime!$B$7:$B$557,[1]Overtime!$AN$7:$AN$557,0)</f>
        <v>5.0999999999999996</v>
      </c>
      <c r="AL10" s="99">
        <f>ROUND(((SUM(N10:P10)+SUM(T10:X10))/($J$3*8))*_xlfn.XLOOKUP(C10,[1]Overtime!$B$9:$B$557,[1]Overtime!$AU$9:$AU$557,0),0)</f>
        <v>166731</v>
      </c>
      <c r="AM10" s="99">
        <f>ROUND(((SUM(N10:P10)+SUM(T10:X10))/($J$3*8))*_xlfn.XLOOKUP(C10,[1]Overtime!$B$9:$B$557,[1]Overtime!$AY$9:$AY$557,0),0)</f>
        <v>83365</v>
      </c>
      <c r="AN10" s="99">
        <f t="shared" ref="AN10:AN25" si="11">ROUND(AM10+AL10,0)</f>
        <v>250096</v>
      </c>
      <c r="AO10" s="99"/>
      <c r="AP10" s="99"/>
      <c r="AQ10" s="99"/>
      <c r="AR10" s="99">
        <f>ROUND(_xlfn.XLOOKUP(C10,[1]Timesheet!$B$9:$B$458,[1]Timesheet!$BQ$9:$BQ$458,,,-1)*SUM(Salary!N10:P10,Salary!T10:X10)*20%/Salary!$J$3,0)</f>
        <v>0</v>
      </c>
      <c r="AS10" s="99">
        <v>0</v>
      </c>
      <c r="AT10" s="99">
        <v>0</v>
      </c>
      <c r="AU10" s="99"/>
      <c r="AV10" s="99">
        <f>IF(CV10="x",IF(IF(CR10&gt;0,$CW$3-_xlfn.XLOOKUP(C10,[1]Timesheet!B:B,[1]Timesheet!BW:BW,0,,-1),$CW$3-_xlfn.XLOOKUP(C10,[1]Timesheet!B:B,[1]Timesheet!BW:BW,0,,-1)-$EB$3)&lt;14,ROUND(L10*20.5%+M10*1%,0),0),0)</f>
        <v>0</v>
      </c>
      <c r="AW10" s="99">
        <f t="shared" ref="AW10:AW25" si="12">CK10</f>
        <v>654815</v>
      </c>
      <c r="AX10" s="99">
        <f t="shared" ref="AX10:AX25" si="13">CM10</f>
        <v>343269</v>
      </c>
      <c r="AY10" s="99"/>
      <c r="AZ10" s="99">
        <v>0</v>
      </c>
      <c r="BA10" s="99"/>
      <c r="BB10" s="99"/>
      <c r="BC10" s="99"/>
      <c r="BD10" s="99"/>
      <c r="BE10" s="99">
        <f t="shared" ref="BE10:BE25" si="14">ROUND(SUM(Z10:AJ10)+AN10+AX10+AT10+AO10+AR10+AS10+AW10+AY10+AV10+AP10+AU10+AQ10+AZ10+BA10,0)</f>
        <v>3102796</v>
      </c>
      <c r="BF10" s="99">
        <f>IF(OR(CW10="x",CR10&gt;0),0,15500000)</f>
        <v>0</v>
      </c>
      <c r="BG10" s="97">
        <v>0</v>
      </c>
      <c r="BH10" s="99"/>
      <c r="BI10" s="99">
        <f t="shared" ref="BI10:BI11" si="15">IF(CV10="x",0,ROUND(L10*1.5%,0))</f>
        <v>102000</v>
      </c>
      <c r="BJ10" s="99">
        <f t="shared" ref="BJ10:BJ25" si="16">IF(CV10="x",0,ROUND(IF(BH10&gt;0,M10*1%,0),0))</f>
        <v>0</v>
      </c>
      <c r="BK10" s="99">
        <f t="shared" ref="BK10:BK25" si="17">IF(CV10="x",0,ROUND(IF(BH10&gt;0,38948,0),0))</f>
        <v>0</v>
      </c>
      <c r="BL10" s="99">
        <f t="shared" ref="BL10:BL25" si="18">ROUND(IF(AC10&gt;0,IF(ROUND((BE10+CX10+CY10-AE10-AN10-AW10-AC10)*15%,0)&gt;AC10,BE10+CX10+CY10-AE10-AN10-AW10,BE10+CX10+CY10-AE10-AN10-AW10-AC10+ROUND((BE10+CX10+CY10-AE10-AN10-AW10-AC10)*15%,0)),BE10+CX10+CY10-AE10-AN10-AW10),0)</f>
        <v>2197885</v>
      </c>
      <c r="BM10" s="99">
        <f t="shared" ref="BM10:BM25" si="19">IF(OR(CW10="x",CR10&gt;0),BL10,IF(BL10-BF10-BG10-SUM(BH10:BJ10)&gt;0,BL10-BF10-BG10-SUM(BH10:BJ10),0))</f>
        <v>2197885</v>
      </c>
      <c r="BN10" s="99">
        <f t="shared" ref="BN10:BN25" si="20">IF(OR(CW10="x",CR10&gt;0),ROUND(IF(BM10&gt;4999999,BM10*10%,0),0),ROUND(IF(BM10&gt;100000000,((BM10-100000000)*0.35+20500000),IF(AND(BM10&gt;60000000,BM10&lt;=100000000),((BM10-60000000)*0.3+8500000),IF(AND(BM10&gt;30000000,BM10&lt;=60000000),((BM10-30000000)*0.2+2500000),IF(AND(BM10&gt;10000000,BM10&lt;=30000000),((BM10-10000000)*0.1+500000),IF(BM10&lt;0,0,(BM10*0.05)))))),0))</f>
        <v>0</v>
      </c>
      <c r="BO10" s="99">
        <f t="shared" ref="BO10:BO25" si="21">SUM(BH10:BK10,BN10)</f>
        <v>102000</v>
      </c>
      <c r="BP10" s="99">
        <f t="shared" ref="BP10:BP25" si="22">IF(CV10="x",0,ROUND(IF(BH10&gt;0,L10*17.5%,0),0))</f>
        <v>0</v>
      </c>
      <c r="BQ10" s="99">
        <f t="shared" ref="BQ10:BQ25" si="23">IF(CV10="x",0,ROUND(IF(BI10&gt;0,L10*3%,0),0))</f>
        <v>204000</v>
      </c>
      <c r="BR10" s="99">
        <f t="shared" ref="BR10:BR25" si="24">IF(CV10="x",0,ROUND(IF(BJ10&gt;0,M10*1%,0),0))</f>
        <v>0</v>
      </c>
      <c r="BS10" s="99">
        <f t="shared" ref="BS10:BS25" si="25">IF(CV10="x",0,ROUND(IF(BK10&gt;0,L10*2%,0),0))</f>
        <v>0</v>
      </c>
      <c r="BT10" s="99"/>
      <c r="BU10" s="99"/>
      <c r="BV10" s="99"/>
      <c r="BW10" s="99">
        <v>0</v>
      </c>
      <c r="BX10" s="99"/>
      <c r="BY10" s="99"/>
      <c r="BZ10" s="99"/>
      <c r="CA10" s="99"/>
      <c r="CB10" s="99"/>
      <c r="CC10" s="99"/>
      <c r="CD10" s="99"/>
      <c r="CE10" s="99"/>
      <c r="CF10" s="99"/>
      <c r="CG10" s="99">
        <f t="shared" ref="CG10:CG25" si="26">ROUND(BE10-BO10+BZ10-BT10-BU10-BX10-BV10+BW10+BY10+CA10-CB10,0)</f>
        <v>3000796</v>
      </c>
      <c r="CH10" s="99">
        <f t="shared" ref="CH10:CH25" si="27">CG10+BN10+SUM(BH10:BK10)+SUM(BP10:BS10)</f>
        <v>3306796</v>
      </c>
      <c r="CI10" s="99">
        <f t="shared" ref="CI10:CI25" si="28">IF(BH10=0,0,ROUND((SUM(N10:X10)-(R10+S10))/12,0))</f>
        <v>0</v>
      </c>
      <c r="CJ10" s="100">
        <v>2.6</v>
      </c>
      <c r="CK10" s="101">
        <f t="shared" ref="CK10:CK25" si="29">ROUND((M10/$CK$3*CJ10),0)</f>
        <v>654815</v>
      </c>
      <c r="CL10" s="102">
        <f>7*1.5</f>
        <v>10.5</v>
      </c>
      <c r="CM10" s="96">
        <f t="shared" ref="CM10:CM25" si="30">ROUND((M10/$J$3/8*CL10),0)</f>
        <v>343269</v>
      </c>
      <c r="CN10" s="101"/>
      <c r="CO10" s="101">
        <f t="shared" ref="CO10:CO25" si="31">CK10+CM10</f>
        <v>998084</v>
      </c>
      <c r="CP10" s="103">
        <v>45786</v>
      </c>
      <c r="CQ10" s="103">
        <v>45816</v>
      </c>
      <c r="CR10" s="104">
        <v>46209</v>
      </c>
      <c r="CS10" s="103">
        <v>0</v>
      </c>
      <c r="CT10" s="103">
        <v>0</v>
      </c>
      <c r="CU10" s="101"/>
      <c r="CV10" s="103"/>
      <c r="CW10" s="103"/>
      <c r="CX10" s="105"/>
      <c r="CY10" s="105"/>
      <c r="CZ10" s="105"/>
      <c r="DA10" s="99"/>
      <c r="DB10" s="106"/>
      <c r="DC10" s="106">
        <f>_xlfn.XLOOKUP(C10,[1]Overtime!$B$8:$B$2327,[1]Overtime!$BA$8:$BA$2327,"",,-1)</f>
        <v>0</v>
      </c>
      <c r="DD10" s="106">
        <f>_xlfn.XLOOKUP(C10,[1]Timesheet!$B$9:$B$2328,[1]Timesheet!$BS$9:$BS$2328,0,,-1)</f>
        <v>0</v>
      </c>
      <c r="DE10" s="106">
        <f>_xlfn.XLOOKUP(C10,[1]Timesheet!$B$7:$B$616,[1]Timesheet!$BK$7:$BK$616,0)+_xlfn.XLOOKUP(C10,[1]Timesheet!$B$7:$B$616,[1]Timesheet!$AV$7:$AV$616,0)-_xlfn.XLOOKUP(C10,[1]Timesheet!$B$7:$B$616,[1]Timesheet!$AX$7:$AX$616,0)+_xlfn.XLOOKUP(C10,[1]Timesheet!$B$7:$B$616,[1]Timesheet!$AW$7:$AW$616,0)-_xlfn.XLOOKUP(C10,[1]Timesheet!$B$7:$B$616,[1]Timesheet!$AY$7:$AY$616,0)</f>
        <v>1</v>
      </c>
      <c r="DF10" s="106">
        <f t="shared" ref="DF10:DF25" si="32">DE10*(-100000)</f>
        <v>-100000</v>
      </c>
      <c r="DG10" s="106">
        <f>_xlfn.XLOOKUP(C10,[1]Timesheet!$B$7:$B$616,[1]Timesheet!$BV$7:$BV$616,0)+_xlfn.XLOOKUP(C10,[1]Timesheet!$B$7:$B$616,[1]Timesheet!$AX$7:$AX$616,0)++_xlfn.XLOOKUP(C10,[1]Timesheet!$B$7:$B$616,[1]Timesheet!$AY$7:$AY$616,0)</f>
        <v>0</v>
      </c>
      <c r="DH10" s="106">
        <f t="shared" ref="DH10:DH25" si="33">IF(DG10&gt;2,-1000000,IF(DG10=2,-500000,IF(DG10=1,-200000,0)))</f>
        <v>0</v>
      </c>
      <c r="DI10" s="106">
        <f>_xlfn.XLOOKUP(C10,[1]Timesheet!$B$7:$B$616,[1]Timesheet!$AZ$7:$AZ$616,0)+_xlfn.XLOOKUP(C10,[1]Timesheet!$B$7:$B$616,[1]Timesheet!$BA$7:$BA$616,0)</f>
        <v>0</v>
      </c>
      <c r="DJ10" s="106">
        <f>IF(CW10="x",IF((ROUND(Y10*W10/$J$3,0))&lt;0,0,ROUND(Y10*W10/$J$3,0)),IF(OR(CR10&gt;0,CS10&gt;0,CT10&gt;0),W10/$J$3*(Y10+_xlfn.XLOOKUP(C10,[1]Timesheet!B:B,[1]Timesheet!BS:BS,0,,-1)+_xlfn.XLOOKUP(C10,[1]Timesheet!B:B,[1]Timesheet!BU:BU,0,,-1)),IF(OR(DH10&lt;0,DF10&lt;0),IF(DI10&gt;0,W10/$J$3*($J$3-DI10),W10),W10/$J$3*(Y10+_xlfn.XLOOKUP(C10,[1]Timesheet!B:B,[1]Timesheet!BS:BS,0,,-1)+_xlfn.XLOOKUP(C10,[1]Timesheet!B:B,[1]Timesheet!BU:BU,0,,-1)))))</f>
        <v>303846.15384615387</v>
      </c>
      <c r="DK10" s="106">
        <f t="shared" ref="DK10:DK25" si="34">DF10+DH10</f>
        <v>-100000</v>
      </c>
      <c r="DL10" s="106">
        <f>_xlfn.XLOOKUP(C10,[1]Timesheet!$B$7:$B$565,[1]Timesheet!$BB$7:$BB$565,0)</f>
        <v>0</v>
      </c>
      <c r="DM10" s="106">
        <f>_xlfn.XLOOKUP(C10,[1]Timesheet!$B$7:$B$565,[1]Timesheet!$BC$7:$BC$565,0)</f>
        <v>0</v>
      </c>
      <c r="DN10" s="106">
        <f>_xlfn.XLOOKUP(C10,[1]Timesheet!$B$7:$B$565,[1]Timesheet!$BF$7:$BF$565,0)</f>
        <v>0</v>
      </c>
      <c r="DO10" s="106">
        <f>_xlfn.XLOOKUP(C10,[1]Timesheet!$B$7:$B$565,[1]Timesheet!$BJ$7:$BJ$565,0)</f>
        <v>0</v>
      </c>
      <c r="DP10" s="106">
        <f t="shared" ref="DP10:DP25" si="35">DN10+DO10</f>
        <v>0</v>
      </c>
      <c r="DQ10" s="106">
        <f>_xlfn.XLOOKUP(C10,[1]Timesheet!$B$7:$B$565,[1]Timesheet!$BT$7:$BT$565,0)</f>
        <v>17</v>
      </c>
      <c r="DR10" s="106">
        <f>_xlfn.XLOOKUP(C10,[1]Timesheet!$B$7:$B$565,[1]Timesheet!$BM$7:$BM$565,0)</f>
        <v>0</v>
      </c>
      <c r="DS10" s="106">
        <f t="shared" ref="DS10:DS25" si="36">W10/$J$3*DR10</f>
        <v>0</v>
      </c>
      <c r="DT10" s="106">
        <f t="shared" ref="DT10:DT25" si="37">ROUND(IF(BH10&gt;0,L10*$DT$7,0),0)</f>
        <v>0</v>
      </c>
      <c r="DU10" s="106">
        <f t="shared" ref="DU10:DU25" si="38">ROUND(IF(BI10&gt;0,L10*$DU$7,0),0)</f>
        <v>204000</v>
      </c>
      <c r="DV10" s="106">
        <f t="shared" ref="DV10:DV25" si="39">ROUND(IF(BJ10&gt;0,M10*$DV$7,0),0)</f>
        <v>0</v>
      </c>
      <c r="DW10" s="106">
        <f t="shared" ref="DW10:DW25" si="40">ROUND(IF(BK10&gt;0,L10*$DW$7,0),0)</f>
        <v>0</v>
      </c>
      <c r="DX10" s="106">
        <f t="shared" ref="DX10:DX25" si="41">SUM(N10:X10)</f>
        <v>7100000</v>
      </c>
      <c r="DY10" s="106">
        <f t="shared" ref="DY10:DY25" si="42">SUM(O10:S10)</f>
        <v>1100000</v>
      </c>
      <c r="DZ10" s="106">
        <f t="shared" ref="DZ10:DZ25" si="43">SUM(W10:X10)</f>
        <v>1000000</v>
      </c>
      <c r="EA10" s="106">
        <f>_xlfn.XLOOKUP(C10,[1]Timesheet!$B$7:$B$565,[1]Timesheet!$BI$7:$BI$565,0)</f>
        <v>0</v>
      </c>
      <c r="EB10" s="106">
        <f t="shared" ref="EB10:EB25" si="44">IF(AC10&gt;0,ROUND((BE10+CX10+CY10-AE10-AN10-AW10-AC10)*15%,0),0)</f>
        <v>0</v>
      </c>
      <c r="EC10" s="106">
        <f t="shared" ref="EC10:EC25" si="45">AC10</f>
        <v>0</v>
      </c>
      <c r="ED10" s="106">
        <f t="shared" ref="ED10:ED25" si="46">EB10-EC10</f>
        <v>0</v>
      </c>
      <c r="EE10" s="106">
        <f t="shared" ref="EE10:EE25" si="47">BE10+CX10+CY10-AE10-AN10-AW10-BL10</f>
        <v>0</v>
      </c>
      <c r="EF10" s="99">
        <f>ROUND((SUM(N10:P10)+W10+X10+T10+U10+V10)/($J$3*8)*_xlfn.XLOOKUP(C10,[1]Overtime!$B$9:$B$557,[1]Overtime!$AU$9:$AU$557,0),0)</f>
        <v>166731</v>
      </c>
      <c r="EG10" s="99">
        <f>ROUND(((SUM(N10:P10)+W10+X10+T10+U10+V10)/($J$3*8))*_xlfn.XLOOKUP(C10,[1]Overtime!$B$9:$B$557,[1]Overtime!$AY$9:$AY$557,0),0)</f>
        <v>83365</v>
      </c>
      <c r="EH10" s="99">
        <f t="shared" ref="EH10:EH25" si="48">ROUND(EG10+EF10,0)</f>
        <v>250096</v>
      </c>
      <c r="EI10" s="99">
        <f t="shared" ref="EI10:EJ25" si="49">AL10-EF10</f>
        <v>0</v>
      </c>
      <c r="EJ10" s="99">
        <f t="shared" si="49"/>
        <v>0</v>
      </c>
      <c r="EK10" s="99">
        <f>ROUND((SUM(N10:P10)+W10+X10+T10+U10+V10)/($J$3*8)*_xlfn.XLOOKUP(C10,[1]Overtime!$B$9:$B$557,[1]Overtime!$AO$9:$AO$557,0)*1.5,0)</f>
        <v>250096</v>
      </c>
      <c r="EL10" s="99">
        <f>ROUND((SUM(N10:P10)+W10+X10+T10+U10+V10)/($J$3*8)*_xlfn.XLOOKUP(C10,[1]Overtime!$B$9:$B$557,[1]Overtime!$AP$9:$AP$557,0)*2,0)</f>
        <v>0</v>
      </c>
      <c r="EM10" s="99">
        <f t="shared" ref="EM10:EM25" si="50">AN10-EK10-EL10</f>
        <v>0</v>
      </c>
      <c r="EN10" s="99">
        <f t="shared" ref="EN10:EN25" si="51">ROUND(Y10*W10/$J$3,0)</f>
        <v>303846</v>
      </c>
      <c r="EO10" s="99">
        <f t="shared" ref="EO10:EO25" si="52">DJ10-EN10</f>
        <v>0.15384615387301892</v>
      </c>
      <c r="EP10" s="99">
        <f t="shared" ref="EP10:EP25" si="53">IF(AI10=0,0,AI10-DK10-EN10)</f>
        <v>0</v>
      </c>
      <c r="EQ10" s="87">
        <v>0</v>
      </c>
      <c r="ER10" s="87">
        <f t="shared" ref="ER10:ER25" si="54">EQ10/4400000</f>
        <v>0</v>
      </c>
      <c r="ET10" s="87"/>
      <c r="EU10" s="88"/>
      <c r="EV10" s="87"/>
    </row>
    <row r="11" spans="1:152" s="107" customFormat="1" ht="27.75" customHeight="1" x14ac:dyDescent="0.25">
      <c r="A11" s="89"/>
      <c r="B11" s="90">
        <f>B10+1</f>
        <v>2</v>
      </c>
      <c r="C11" s="91" t="s">
        <v>217</v>
      </c>
      <c r="D11" s="92" t="s">
        <v>218</v>
      </c>
      <c r="E11" s="92" t="str">
        <f t="shared" si="3"/>
        <v>Resigned - Official</v>
      </c>
      <c r="F11" s="93">
        <f t="shared" si="4"/>
        <v>0</v>
      </c>
      <c r="G11" s="92" t="s">
        <v>219</v>
      </c>
      <c r="H11" s="91" t="s">
        <v>220</v>
      </c>
      <c r="I11" s="94" t="s">
        <v>221</v>
      </c>
      <c r="J11" s="95" t="s">
        <v>219</v>
      </c>
      <c r="K11" s="95" t="s">
        <v>222</v>
      </c>
      <c r="L11" s="96">
        <f t="shared" si="5"/>
        <v>6700000</v>
      </c>
      <c r="M11" s="97">
        <f t="shared" si="6"/>
        <v>6700000</v>
      </c>
      <c r="N11" s="97">
        <v>4900000</v>
      </c>
      <c r="O11" s="97">
        <v>800000</v>
      </c>
      <c r="P11" s="97">
        <v>0</v>
      </c>
      <c r="Q11" s="97">
        <v>0</v>
      </c>
      <c r="R11" s="97">
        <v>300000</v>
      </c>
      <c r="S11" s="97">
        <v>0</v>
      </c>
      <c r="T11" s="97">
        <v>0</v>
      </c>
      <c r="U11" s="97">
        <v>0</v>
      </c>
      <c r="V11" s="97">
        <v>0</v>
      </c>
      <c r="W11" s="97">
        <v>1000000</v>
      </c>
      <c r="X11" s="97">
        <v>0</v>
      </c>
      <c r="Y11" s="98">
        <f>_xlfn.XLOOKUP(C11,[1]Timesheet!$B$9:$B$25,[1]Timesheet!$AO$9:$AO$25,0,,1)</f>
        <v>4</v>
      </c>
      <c r="Z11" s="99">
        <f t="shared" si="7"/>
        <v>753846</v>
      </c>
      <c r="AA11" s="99">
        <f>ROUND(O11/$J$3*(Y11+_xlfn.XLOOKUP(C11,[1]Timesheet!B:B,[1]Timesheet!BS:BS,0)),0)</f>
        <v>123077</v>
      </c>
      <c r="AB11" s="99">
        <f>ROUND(IF(Y11&gt;=8,P11,(P11/$J$3)*(Y11+_xlfn.XLOOKUP(C11,[1]Timesheet!B:B,[1]Timesheet!BS:BS,0))),0)</f>
        <v>0</v>
      </c>
      <c r="AC11" s="99">
        <f t="shared" si="8"/>
        <v>0</v>
      </c>
      <c r="AD11" s="99">
        <f>IF(_xlfn.XLOOKUP(Salary!C11,[1]Bus!B:B,[1]Bus!G:G,"",,-1)=1,0,ROUND((R11/$J$3)*ROUND(Y11+_xlfn.XLOOKUP(C11,[1]Timesheet!B:B,[1]Timesheet!BS:BS,0,,-1),0),0))</f>
        <v>46154</v>
      </c>
      <c r="AE11" s="99">
        <f t="shared" si="9"/>
        <v>0</v>
      </c>
      <c r="AF11" s="99">
        <f>ROUND(IF(Y11&gt;=8,T11,(T11/$J$3)*(Y11+_xlfn.XLOOKUP(C11,[1]Timesheet!B:B,[1]Timesheet!BS:BS,0))),0)</f>
        <v>0</v>
      </c>
      <c r="AG11" s="99">
        <f>ROUND(IF(Y11&gt;=8,U11,(U11/$J$3)*(Y11+_xlfn.XLOOKUP(C11,[1]Timesheet!B:B,[1]Timesheet!BS:BS,0))),0)</f>
        <v>0</v>
      </c>
      <c r="AH11" s="99">
        <f>ROUND(IF(OR(CR11&gt;0,Y11&lt;8),(V11/$J$3)*(Y11+_xlfn.XLOOKUP(C11,[1]Timesheet!B:B,[1]Timesheet!BS:BS,0)),V11),0)</f>
        <v>0</v>
      </c>
      <c r="AI11" s="99">
        <f t="shared" si="10"/>
        <v>0</v>
      </c>
      <c r="AJ11" s="99">
        <f>IF(Y11&gt;0,ROUND(IF(LEN(CR11)&gt;2,(X11/$J$3)*(Y11+_xlfn.XLOOKUP(C11,[1]Timesheet!B:B,[1]Timesheet!BS:BS,0)),X11),0),0)</f>
        <v>0</v>
      </c>
      <c r="AK11" s="98">
        <f>_xlfn.XLOOKUP(C11,[1]Overtime!$B$7:$B$557,[1]Overtime!$AN$7:$AN$557,0)</f>
        <v>2</v>
      </c>
      <c r="AL11" s="99">
        <f>ROUND(((SUM(N11:P11)+SUM(T11:X11))/($J$3*8))*_xlfn.XLOOKUP(C11,[1]Overtime!$B$9:$B$557,[1]Overtime!$AU$9:$AU$557,0),0)</f>
        <v>64423</v>
      </c>
      <c r="AM11" s="99">
        <f>ROUND(((SUM(N11:P11)+SUM(T11:X11))/($J$3*8))*_xlfn.XLOOKUP(C11,[1]Overtime!$B$9:$B$557,[1]Overtime!$AY$9:$AY$557,0),0)</f>
        <v>32212</v>
      </c>
      <c r="AN11" s="99">
        <f t="shared" si="11"/>
        <v>96635</v>
      </c>
      <c r="AO11" s="99"/>
      <c r="AP11" s="99"/>
      <c r="AQ11" s="99"/>
      <c r="AR11" s="99">
        <f>ROUND(_xlfn.XLOOKUP(C11,[1]Timesheet!$B$9:$B$458,[1]Timesheet!$BQ$9:$BQ$458,,,-1)*SUM(Salary!N11:P11,Salary!T11:X11)*20%/Salary!$J$3,0)</f>
        <v>0</v>
      </c>
      <c r="AS11" s="99">
        <v>0</v>
      </c>
      <c r="AT11" s="99">
        <v>0</v>
      </c>
      <c r="AU11" s="99"/>
      <c r="AV11" s="99">
        <f>IF(CV11="x",IF(IF(CR11&gt;0,$CW$3-_xlfn.XLOOKUP(C11,[1]Timesheet!B:B,[1]Timesheet!BW:BW,0,,-1),$CW$3-_xlfn.XLOOKUP(C11,[1]Timesheet!B:B,[1]Timesheet!BW:BW,0,,-1)-$EB$3)&lt;14,ROUND(L11*20.5%+M11*1%,0),0),0)</f>
        <v>0</v>
      </c>
      <c r="AW11" s="99">
        <f t="shared" si="12"/>
        <v>-99259</v>
      </c>
      <c r="AX11" s="99">
        <f t="shared" si="13"/>
        <v>289904</v>
      </c>
      <c r="AY11" s="99"/>
      <c r="AZ11" s="99">
        <v>0</v>
      </c>
      <c r="BA11" s="99"/>
      <c r="BB11" s="99"/>
      <c r="BC11" s="99"/>
      <c r="BD11" s="99"/>
      <c r="BE11" s="99">
        <f t="shared" si="14"/>
        <v>1210357</v>
      </c>
      <c r="BF11" s="99">
        <f t="shared" ref="BF11:BF25" si="55">IF(OR(CW11="x",CR11&gt;0),0,15500000)</f>
        <v>0</v>
      </c>
      <c r="BG11" s="97">
        <v>0</v>
      </c>
      <c r="BH11" s="99"/>
      <c r="BI11" s="99">
        <f t="shared" si="15"/>
        <v>100500</v>
      </c>
      <c r="BJ11" s="99">
        <f t="shared" si="16"/>
        <v>0</v>
      </c>
      <c r="BK11" s="99">
        <f t="shared" si="17"/>
        <v>0</v>
      </c>
      <c r="BL11" s="99">
        <f t="shared" si="18"/>
        <v>1212981</v>
      </c>
      <c r="BM11" s="99">
        <f t="shared" si="19"/>
        <v>1212981</v>
      </c>
      <c r="BN11" s="99">
        <f t="shared" si="20"/>
        <v>0</v>
      </c>
      <c r="BO11" s="99">
        <f t="shared" si="21"/>
        <v>100500</v>
      </c>
      <c r="BP11" s="99">
        <f t="shared" si="22"/>
        <v>0</v>
      </c>
      <c r="BQ11" s="99">
        <f t="shared" si="23"/>
        <v>201000</v>
      </c>
      <c r="BR11" s="99">
        <f t="shared" si="24"/>
        <v>0</v>
      </c>
      <c r="BS11" s="99">
        <f t="shared" si="25"/>
        <v>0</v>
      </c>
      <c r="BT11" s="99"/>
      <c r="BU11" s="99"/>
      <c r="BV11" s="99"/>
      <c r="BW11" s="99">
        <v>0</v>
      </c>
      <c r="BX11" s="99"/>
      <c r="BY11" s="99"/>
      <c r="BZ11" s="99"/>
      <c r="CA11" s="99"/>
      <c r="CB11" s="99"/>
      <c r="CC11" s="99"/>
      <c r="CD11" s="99"/>
      <c r="CE11" s="99"/>
      <c r="CF11" s="99"/>
      <c r="CG11" s="99">
        <f t="shared" si="26"/>
        <v>1109857</v>
      </c>
      <c r="CH11" s="99">
        <f t="shared" si="27"/>
        <v>1411357</v>
      </c>
      <c r="CI11" s="99">
        <f t="shared" si="28"/>
        <v>0</v>
      </c>
      <c r="CJ11" s="100">
        <v>-0.4</v>
      </c>
      <c r="CK11" s="101">
        <f t="shared" si="29"/>
        <v>-99259</v>
      </c>
      <c r="CL11" s="102">
        <f>6*1.5</f>
        <v>9</v>
      </c>
      <c r="CM11" s="96">
        <f t="shared" si="30"/>
        <v>289904</v>
      </c>
      <c r="CN11" s="101"/>
      <c r="CO11" s="101">
        <f t="shared" si="31"/>
        <v>190645</v>
      </c>
      <c r="CP11" s="103">
        <v>45926</v>
      </c>
      <c r="CQ11" s="103">
        <v>45956</v>
      </c>
      <c r="CR11" s="104">
        <v>46209</v>
      </c>
      <c r="CS11" s="103">
        <v>0</v>
      </c>
      <c r="CT11" s="103">
        <v>0</v>
      </c>
      <c r="CU11" s="101"/>
      <c r="CV11" s="103"/>
      <c r="CW11" s="103"/>
      <c r="CX11" s="105"/>
      <c r="CY11" s="105"/>
      <c r="CZ11" s="105"/>
      <c r="DA11" s="99"/>
      <c r="DB11" s="106"/>
      <c r="DC11" s="106">
        <f>_xlfn.XLOOKUP(C11,[1]Overtime!$B$8:$B$2327,[1]Overtime!$BA$8:$BA$2327,"",,-1)</f>
        <v>0</v>
      </c>
      <c r="DD11" s="106">
        <f>_xlfn.XLOOKUP(C11,[1]Timesheet!$B$9:$B$2328,[1]Timesheet!$BS$9:$BS$2328,0,,-1)</f>
        <v>0</v>
      </c>
      <c r="DE11" s="106">
        <f>_xlfn.XLOOKUP(C11,[1]Timesheet!$B$7:$B$616,[1]Timesheet!$BK$7:$BK$616,0)+_xlfn.XLOOKUP(C11,[1]Timesheet!$B$7:$B$616,[1]Timesheet!$AV$7:$AV$616,0)-_xlfn.XLOOKUP(C11,[1]Timesheet!$B$7:$B$616,[1]Timesheet!$AX$7:$AX$616,0)+_xlfn.XLOOKUP(C11,[1]Timesheet!$B$7:$B$616,[1]Timesheet!$AW$7:$AW$616,0)-_xlfn.XLOOKUP(C11,[1]Timesheet!$B$7:$B$616,[1]Timesheet!$AY$7:$AY$616,0)</f>
        <v>0</v>
      </c>
      <c r="DF11" s="106">
        <f t="shared" si="32"/>
        <v>0</v>
      </c>
      <c r="DG11" s="106">
        <f>_xlfn.XLOOKUP(C11,[1]Timesheet!$B$7:$B$616,[1]Timesheet!$BV$7:$BV$616,0)+_xlfn.XLOOKUP(C11,[1]Timesheet!$B$7:$B$616,[1]Timesheet!$AX$7:$AX$616,0)++_xlfn.XLOOKUP(C11,[1]Timesheet!$B$7:$B$616,[1]Timesheet!$AY$7:$AY$616,0)</f>
        <v>4</v>
      </c>
      <c r="DH11" s="106">
        <f t="shared" si="33"/>
        <v>-1000000</v>
      </c>
      <c r="DI11" s="106">
        <f>_xlfn.XLOOKUP(C11,[1]Timesheet!$B$7:$B$616,[1]Timesheet!$AZ$7:$AZ$616,0)+_xlfn.XLOOKUP(C11,[1]Timesheet!$B$7:$B$616,[1]Timesheet!$BA$7:$BA$616,0)</f>
        <v>0</v>
      </c>
      <c r="DJ11" s="106">
        <f>IF(CW11="x",IF((ROUND(Y11*W11/$J$3,0))&lt;0,0,ROUND(Y11*W11/$J$3,0)),IF(OR(CR11&gt;0,CS11&gt;0,CT11&gt;0),W11/$J$3*(Y11+_xlfn.XLOOKUP(C11,[1]Timesheet!B:B,[1]Timesheet!BS:BS,0,,-1)+_xlfn.XLOOKUP(C11,[1]Timesheet!B:B,[1]Timesheet!BU:BU,0,,-1)),IF(OR(DH11&lt;0,DF11&lt;0),IF(DI11&gt;0,W11/$J$3*($J$3-DI11),W11),W11/$J$3*(Y11+_xlfn.XLOOKUP(C11,[1]Timesheet!B:B,[1]Timesheet!BS:BS,0,,-1)+_xlfn.XLOOKUP(C11,[1]Timesheet!B:B,[1]Timesheet!BU:BU,0,,-1)))))</f>
        <v>153846.15384615384</v>
      </c>
      <c r="DK11" s="106">
        <f t="shared" si="34"/>
        <v>-1000000</v>
      </c>
      <c r="DL11" s="106">
        <f>_xlfn.XLOOKUP(C11,[1]Timesheet!$B$7:$B$565,[1]Timesheet!$BB$7:$BB$565,0)</f>
        <v>0</v>
      </c>
      <c r="DM11" s="106">
        <f>_xlfn.XLOOKUP(C11,[1]Timesheet!$B$7:$B$565,[1]Timesheet!$BC$7:$BC$565,0)</f>
        <v>0</v>
      </c>
      <c r="DN11" s="106">
        <f>_xlfn.XLOOKUP(C11,[1]Timesheet!$B$7:$B$565,[1]Timesheet!$BF$7:$BF$565,0)</f>
        <v>0</v>
      </c>
      <c r="DO11" s="106">
        <f>_xlfn.XLOOKUP(C11,[1]Timesheet!$B$7:$B$565,[1]Timesheet!$BJ$7:$BJ$565,0)</f>
        <v>4</v>
      </c>
      <c r="DP11" s="106">
        <f t="shared" si="35"/>
        <v>4</v>
      </c>
      <c r="DQ11" s="106">
        <f>_xlfn.XLOOKUP(C11,[1]Timesheet!$B$7:$B$565,[1]Timesheet!$BT$7:$BT$565,0)</f>
        <v>21</v>
      </c>
      <c r="DR11" s="106">
        <f>_xlfn.XLOOKUP(C11,[1]Timesheet!$B$7:$B$565,[1]Timesheet!$BM$7:$BM$565,0)</f>
        <v>0</v>
      </c>
      <c r="DS11" s="106">
        <f t="shared" si="36"/>
        <v>0</v>
      </c>
      <c r="DT11" s="106">
        <f t="shared" si="37"/>
        <v>0</v>
      </c>
      <c r="DU11" s="106">
        <f t="shared" si="38"/>
        <v>201000</v>
      </c>
      <c r="DV11" s="106">
        <f t="shared" si="39"/>
        <v>0</v>
      </c>
      <c r="DW11" s="106">
        <f t="shared" si="40"/>
        <v>0</v>
      </c>
      <c r="DX11" s="106">
        <f t="shared" si="41"/>
        <v>7000000</v>
      </c>
      <c r="DY11" s="106">
        <f t="shared" si="42"/>
        <v>1100000</v>
      </c>
      <c r="DZ11" s="106">
        <f t="shared" si="43"/>
        <v>1000000</v>
      </c>
      <c r="EA11" s="106">
        <f>_xlfn.XLOOKUP(C11,[1]Timesheet!$B$7:$B$565,[1]Timesheet!$BI$7:$BI$565,0)</f>
        <v>4</v>
      </c>
      <c r="EB11" s="106">
        <f t="shared" si="44"/>
        <v>0</v>
      </c>
      <c r="EC11" s="106">
        <f t="shared" si="45"/>
        <v>0</v>
      </c>
      <c r="ED11" s="106">
        <f t="shared" si="46"/>
        <v>0</v>
      </c>
      <c r="EE11" s="106">
        <f t="shared" si="47"/>
        <v>0</v>
      </c>
      <c r="EF11" s="99">
        <f>ROUND((SUM(N11:P11)+W11+X11+T11+U11+V11)/($J$3*8)*_xlfn.XLOOKUP(C11,[1]Overtime!$B$9:$B$557,[1]Overtime!$AU$9:$AU$557,0),0)</f>
        <v>64423</v>
      </c>
      <c r="EG11" s="99">
        <f>ROUND(((SUM(N11:P11)+W11+X11+T11+U11+V11)/($J$3*8))*_xlfn.XLOOKUP(C11,[1]Overtime!$B$9:$B$557,[1]Overtime!$AY$9:$AY$557,0),0)</f>
        <v>32212</v>
      </c>
      <c r="EH11" s="99">
        <f t="shared" si="48"/>
        <v>96635</v>
      </c>
      <c r="EI11" s="99">
        <f t="shared" si="49"/>
        <v>0</v>
      </c>
      <c r="EJ11" s="99">
        <f t="shared" si="49"/>
        <v>0</v>
      </c>
      <c r="EK11" s="99">
        <f>ROUND((SUM(N11:P11)+W11+X11+T11+U11+V11)/($J$3*8)*_xlfn.XLOOKUP(C11,[1]Overtime!$B$9:$B$557,[1]Overtime!$AO$9:$AO$557,0)*1.5,0)</f>
        <v>96635</v>
      </c>
      <c r="EL11" s="99">
        <f>ROUND((SUM(N11:P11)+W11+X11+T11+U11+V11)/($J$3*8)*_xlfn.XLOOKUP(C11,[1]Overtime!$B$9:$B$557,[1]Overtime!$AP$9:$AP$557,0)*2,0)</f>
        <v>0</v>
      </c>
      <c r="EM11" s="99">
        <f t="shared" si="50"/>
        <v>0</v>
      </c>
      <c r="EN11" s="99">
        <f t="shared" si="51"/>
        <v>153846</v>
      </c>
      <c r="EO11" s="99">
        <f t="shared" si="52"/>
        <v>0.15384615384391509</v>
      </c>
      <c r="EP11" s="99">
        <f t="shared" si="53"/>
        <v>0</v>
      </c>
      <c r="EQ11" s="87">
        <v>0</v>
      </c>
      <c r="ER11" s="87">
        <f t="shared" si="54"/>
        <v>0</v>
      </c>
      <c r="ET11" s="87"/>
      <c r="EU11" s="88"/>
      <c r="EV11" s="87"/>
    </row>
    <row r="12" spans="1:152" s="107" customFormat="1" ht="27.75" customHeight="1" x14ac:dyDescent="0.25">
      <c r="A12" s="89"/>
      <c r="B12" s="90">
        <f t="shared" ref="B12:B25" si="56">B11+1</f>
        <v>3</v>
      </c>
      <c r="C12" s="91" t="s">
        <v>223</v>
      </c>
      <c r="D12" s="92" t="s">
        <v>224</v>
      </c>
      <c r="E12" s="92" t="str">
        <f t="shared" si="3"/>
        <v>Resigned - Official</v>
      </c>
      <c r="F12" s="93">
        <f t="shared" si="4"/>
        <v>0</v>
      </c>
      <c r="G12" s="92" t="s">
        <v>213</v>
      </c>
      <c r="H12" s="91" t="s">
        <v>214</v>
      </c>
      <c r="I12" s="94" t="s">
        <v>225</v>
      </c>
      <c r="J12" s="95" t="s">
        <v>213</v>
      </c>
      <c r="K12" s="95" t="s">
        <v>216</v>
      </c>
      <c r="L12" s="96">
        <f t="shared" si="5"/>
        <v>6500000</v>
      </c>
      <c r="M12" s="97">
        <f t="shared" si="6"/>
        <v>6500000</v>
      </c>
      <c r="N12" s="97">
        <v>4700000</v>
      </c>
      <c r="O12" s="97">
        <v>800000</v>
      </c>
      <c r="P12" s="97">
        <v>0</v>
      </c>
      <c r="Q12" s="97">
        <v>0</v>
      </c>
      <c r="R12" s="97">
        <v>300000</v>
      </c>
      <c r="S12" s="97">
        <v>0</v>
      </c>
      <c r="T12" s="97">
        <v>0</v>
      </c>
      <c r="U12" s="97">
        <v>0</v>
      </c>
      <c r="V12" s="97">
        <v>0</v>
      </c>
      <c r="W12" s="97">
        <v>1000000</v>
      </c>
      <c r="X12" s="97">
        <v>0</v>
      </c>
      <c r="Y12" s="98">
        <f>_xlfn.XLOOKUP(C12,[1]Timesheet!$B$9:$B$25,[1]Timesheet!$AO$9:$AO$25,0,,1)</f>
        <v>0</v>
      </c>
      <c r="Z12" s="99">
        <f t="shared" si="7"/>
        <v>0</v>
      </c>
      <c r="AA12" s="99">
        <f>ROUND(O12/$J$3*(Y12+_xlfn.XLOOKUP(C12,[1]Timesheet!B:B,[1]Timesheet!BS:BS,0)),0)</f>
        <v>0</v>
      </c>
      <c r="AB12" s="99">
        <f>ROUND(IF(Y12&gt;=8,P12,(P12/$J$3)*(Y12+_xlfn.XLOOKUP(C12,[1]Timesheet!B:B,[1]Timesheet!BS:BS,0))),0)</f>
        <v>0</v>
      </c>
      <c r="AC12" s="99">
        <f t="shared" si="8"/>
        <v>0</v>
      </c>
      <c r="AD12" s="99">
        <f>IF(_xlfn.XLOOKUP(Salary!C12,[1]Bus!B:B,[1]Bus!G:G,"",,-1)=1,0,ROUND((R12/$J$3)*ROUND(Y12+_xlfn.XLOOKUP(C12,[1]Timesheet!B:B,[1]Timesheet!BS:BS,0,,-1),0),0))</f>
        <v>0</v>
      </c>
      <c r="AE12" s="99">
        <f t="shared" si="9"/>
        <v>0</v>
      </c>
      <c r="AF12" s="99">
        <f>ROUND(IF(Y12&gt;=8,T12,(T12/$J$3)*(Y12+_xlfn.XLOOKUP(C12,[1]Timesheet!B:B,[1]Timesheet!BS:BS,0))),0)</f>
        <v>0</v>
      </c>
      <c r="AG12" s="99">
        <f>ROUND(IF(Y12&gt;=8,U12,(U12/$J$3)*(Y12+_xlfn.XLOOKUP(C12,[1]Timesheet!B:B,[1]Timesheet!BS:BS,0))),0)</f>
        <v>0</v>
      </c>
      <c r="AH12" s="99">
        <f>ROUND(IF(OR(CR12&gt;0,Y12&lt;8),(V12/$J$3)*(Y12+_xlfn.XLOOKUP(C12,[1]Timesheet!B:B,[1]Timesheet!BS:BS,0)),V12),0)</f>
        <v>0</v>
      </c>
      <c r="AI12" s="99">
        <f t="shared" si="10"/>
        <v>0</v>
      </c>
      <c r="AJ12" s="99">
        <f>IF(Y12&gt;0,ROUND(IF(LEN(CR12)&gt;2,(X12/$J$3)*(Y12+_xlfn.XLOOKUP(C12,[1]Timesheet!B:B,[1]Timesheet!BS:BS,0)),X12),0),0)</f>
        <v>0</v>
      </c>
      <c r="AK12" s="98">
        <f>_xlfn.XLOOKUP(C12,[1]Overtime!$B$7:$B$557,[1]Overtime!$AN$7:$AN$557,0)</f>
        <v>0</v>
      </c>
      <c r="AL12" s="99">
        <f>ROUND(((SUM(N12:P12)+SUM(T12:X12))/($J$3*8))*_xlfn.XLOOKUP(C12,[1]Overtime!$B$9:$B$557,[1]Overtime!$AU$9:$AU$557,0),0)</f>
        <v>0</v>
      </c>
      <c r="AM12" s="99">
        <f>ROUND(((SUM(N12:P12)+SUM(T12:X12))/($J$3*8))*_xlfn.XLOOKUP(C12,[1]Overtime!$B$9:$B$557,[1]Overtime!$AY$9:$AY$557,0),0)</f>
        <v>0</v>
      </c>
      <c r="AN12" s="99">
        <f t="shared" si="11"/>
        <v>0</v>
      </c>
      <c r="AO12" s="99"/>
      <c r="AP12" s="99"/>
      <c r="AQ12" s="99"/>
      <c r="AR12" s="99">
        <f>ROUND(_xlfn.XLOOKUP(C12,[1]Timesheet!$B$9:$B$458,[1]Timesheet!$BQ$9:$BQ$458,,,-1)*SUM(Salary!N12:P12,Salary!T12:X12)*20%/Salary!$J$3,0)</f>
        <v>0</v>
      </c>
      <c r="AS12" s="99">
        <v>0</v>
      </c>
      <c r="AT12" s="99">
        <v>0</v>
      </c>
      <c r="AU12" s="99"/>
      <c r="AV12" s="99">
        <f>IF(CV12="x",IF(IF(CR12&gt;0,$CW$3-_xlfn.XLOOKUP(C12,[1]Timesheet!B:B,[1]Timesheet!BW:BW,0,,-1),$CW$3-_xlfn.XLOOKUP(C12,[1]Timesheet!B:B,[1]Timesheet!BW:BW,0,,-1)-$EB$3)&lt;14,ROUND(L12*20.5%+M12*1%,0),0),0)</f>
        <v>0</v>
      </c>
      <c r="AW12" s="99">
        <f t="shared" si="12"/>
        <v>264815</v>
      </c>
      <c r="AX12" s="99">
        <f t="shared" si="13"/>
        <v>281250</v>
      </c>
      <c r="AY12" s="99"/>
      <c r="AZ12" s="99">
        <v>0</v>
      </c>
      <c r="BA12" s="99"/>
      <c r="BB12" s="99"/>
      <c r="BC12" s="99"/>
      <c r="BD12" s="99"/>
      <c r="BE12" s="99">
        <f t="shared" si="14"/>
        <v>546065</v>
      </c>
      <c r="BF12" s="99">
        <f t="shared" si="55"/>
        <v>0</v>
      </c>
      <c r="BG12" s="97">
        <v>0</v>
      </c>
      <c r="BH12" s="99"/>
      <c r="BI12" s="99"/>
      <c r="BJ12" s="99">
        <f t="shared" si="16"/>
        <v>0</v>
      </c>
      <c r="BK12" s="99">
        <f t="shared" si="17"/>
        <v>0</v>
      </c>
      <c r="BL12" s="99">
        <f t="shared" si="18"/>
        <v>281250</v>
      </c>
      <c r="BM12" s="99">
        <f t="shared" si="19"/>
        <v>281250</v>
      </c>
      <c r="BN12" s="99">
        <f t="shared" si="20"/>
        <v>0</v>
      </c>
      <c r="BO12" s="99">
        <f t="shared" si="21"/>
        <v>0</v>
      </c>
      <c r="BP12" s="99">
        <f t="shared" si="22"/>
        <v>0</v>
      </c>
      <c r="BQ12" s="99">
        <f t="shared" si="23"/>
        <v>0</v>
      </c>
      <c r="BR12" s="99">
        <f t="shared" si="24"/>
        <v>0</v>
      </c>
      <c r="BS12" s="99">
        <f t="shared" si="25"/>
        <v>0</v>
      </c>
      <c r="BT12" s="99"/>
      <c r="BU12" s="99"/>
      <c r="BV12" s="99"/>
      <c r="BW12" s="99">
        <v>0</v>
      </c>
      <c r="BX12" s="99"/>
      <c r="BY12" s="99"/>
      <c r="BZ12" s="99"/>
      <c r="CA12" s="99"/>
      <c r="CB12" s="99">
        <v>546065</v>
      </c>
      <c r="CC12" s="99"/>
      <c r="CD12" s="99"/>
      <c r="CE12" s="99"/>
      <c r="CF12" s="99"/>
      <c r="CG12" s="99">
        <f t="shared" si="26"/>
        <v>0</v>
      </c>
      <c r="CH12" s="99">
        <f t="shared" si="27"/>
        <v>0</v>
      </c>
      <c r="CI12" s="99">
        <f t="shared" si="28"/>
        <v>0</v>
      </c>
      <c r="CJ12" s="100">
        <v>1.1000000000000001</v>
      </c>
      <c r="CK12" s="101">
        <f t="shared" si="29"/>
        <v>264815</v>
      </c>
      <c r="CL12" s="102">
        <f>6*1.5</f>
        <v>9</v>
      </c>
      <c r="CM12" s="96">
        <f t="shared" si="30"/>
        <v>281250</v>
      </c>
      <c r="CN12" s="101"/>
      <c r="CO12" s="101">
        <f t="shared" si="31"/>
        <v>546065</v>
      </c>
      <c r="CP12" s="103">
        <v>45930</v>
      </c>
      <c r="CQ12" s="103">
        <v>45960</v>
      </c>
      <c r="CR12" s="104">
        <v>46207</v>
      </c>
      <c r="CS12" s="103">
        <v>0</v>
      </c>
      <c r="CT12" s="103">
        <v>0</v>
      </c>
      <c r="CU12" s="101" t="s">
        <v>226</v>
      </c>
      <c r="CV12" s="103"/>
      <c r="CW12" s="103"/>
      <c r="CX12" s="105"/>
      <c r="CY12" s="105"/>
      <c r="CZ12" s="105"/>
      <c r="DA12" s="99"/>
      <c r="DB12" s="106"/>
      <c r="DC12" s="106">
        <f>_xlfn.XLOOKUP(C12,[1]Overtime!$B$8:$B$2327,[1]Overtime!$BA$8:$BA$2327,"",,-1)</f>
        <v>0</v>
      </c>
      <c r="DD12" s="106">
        <f>_xlfn.XLOOKUP(C12,[1]Timesheet!$B$9:$B$2328,[1]Timesheet!$BS$9:$BS$2328,0,,-1)</f>
        <v>0</v>
      </c>
      <c r="DE12" s="106">
        <f>_xlfn.XLOOKUP(C12,[1]Timesheet!$B$7:$B$616,[1]Timesheet!$BK$7:$BK$616,0)+_xlfn.XLOOKUP(C12,[1]Timesheet!$B$7:$B$616,[1]Timesheet!$AV$7:$AV$616,0)-_xlfn.XLOOKUP(C12,[1]Timesheet!$B$7:$B$616,[1]Timesheet!$AX$7:$AX$616,0)+_xlfn.XLOOKUP(C12,[1]Timesheet!$B$7:$B$616,[1]Timesheet!$AW$7:$AW$616,0)-_xlfn.XLOOKUP(C12,[1]Timesheet!$B$7:$B$616,[1]Timesheet!$AY$7:$AY$616,0)</f>
        <v>0</v>
      </c>
      <c r="DF12" s="106">
        <f t="shared" si="32"/>
        <v>0</v>
      </c>
      <c r="DG12" s="106">
        <f>_xlfn.XLOOKUP(C12,[1]Timesheet!$B$7:$B$616,[1]Timesheet!$BV$7:$BV$616,0)+_xlfn.XLOOKUP(C12,[1]Timesheet!$B$7:$B$616,[1]Timesheet!$AX$7:$AX$616,0)++_xlfn.XLOOKUP(C12,[1]Timesheet!$B$7:$B$616,[1]Timesheet!$AY$7:$AY$616,0)</f>
        <v>7</v>
      </c>
      <c r="DH12" s="106">
        <f t="shared" si="33"/>
        <v>-1000000</v>
      </c>
      <c r="DI12" s="106">
        <f>_xlfn.XLOOKUP(C12,[1]Timesheet!$B$7:$B$616,[1]Timesheet!$AZ$7:$AZ$616,0)+_xlfn.XLOOKUP(C12,[1]Timesheet!$B$7:$B$616,[1]Timesheet!$BA$7:$BA$616,0)</f>
        <v>0</v>
      </c>
      <c r="DJ12" s="106">
        <f>IF(CW12="x",IF((ROUND(Y12*W12/$J$3,0))&lt;0,0,ROUND(Y12*W12/$J$3,0)),IF(OR(CR12&gt;0,CS12&gt;0,CT12&gt;0),W12/$J$3*(Y12+_xlfn.XLOOKUP(C12,[1]Timesheet!B:B,[1]Timesheet!BS:BS,0,,-1)+_xlfn.XLOOKUP(C12,[1]Timesheet!B:B,[1]Timesheet!BU:BU,0,,-1)),IF(OR(DH12&lt;0,DF12&lt;0),IF(DI12&gt;0,W12/$J$3*($J$3-DI12),W12),W12/$J$3*(Y12+_xlfn.XLOOKUP(C12,[1]Timesheet!B:B,[1]Timesheet!BS:BS,0,,-1)+_xlfn.XLOOKUP(C12,[1]Timesheet!B:B,[1]Timesheet!BU:BU,0,,-1)))))</f>
        <v>0</v>
      </c>
      <c r="DK12" s="106">
        <f t="shared" si="34"/>
        <v>-1000000</v>
      </c>
      <c r="DL12" s="106">
        <f>_xlfn.XLOOKUP(C12,[1]Timesheet!$B$7:$B$565,[1]Timesheet!$BB$7:$BB$565,0)</f>
        <v>0</v>
      </c>
      <c r="DM12" s="106">
        <f>_xlfn.XLOOKUP(C12,[1]Timesheet!$B$7:$B$565,[1]Timesheet!$BC$7:$BC$565,0)</f>
        <v>0</v>
      </c>
      <c r="DN12" s="106">
        <f>_xlfn.XLOOKUP(C12,[1]Timesheet!$B$7:$B$565,[1]Timesheet!$BF$7:$BF$565,0)</f>
        <v>0</v>
      </c>
      <c r="DO12" s="106">
        <f>_xlfn.XLOOKUP(C12,[1]Timesheet!$B$7:$B$565,[1]Timesheet!$BJ$7:$BJ$565,0)</f>
        <v>3</v>
      </c>
      <c r="DP12" s="106">
        <f t="shared" si="35"/>
        <v>3</v>
      </c>
      <c r="DQ12" s="106">
        <f>_xlfn.XLOOKUP(C12,[1]Timesheet!$B$7:$B$565,[1]Timesheet!$BT$7:$BT$565,0)</f>
        <v>21</v>
      </c>
      <c r="DR12" s="106">
        <f>_xlfn.XLOOKUP(C12,[1]Timesheet!$B$7:$B$565,[1]Timesheet!$BM$7:$BM$565,0)</f>
        <v>0</v>
      </c>
      <c r="DS12" s="106">
        <f t="shared" si="36"/>
        <v>0</v>
      </c>
      <c r="DT12" s="106">
        <f t="shared" si="37"/>
        <v>0</v>
      </c>
      <c r="DU12" s="106">
        <f t="shared" si="38"/>
        <v>0</v>
      </c>
      <c r="DV12" s="106">
        <f t="shared" si="39"/>
        <v>0</v>
      </c>
      <c r="DW12" s="106">
        <f t="shared" si="40"/>
        <v>0</v>
      </c>
      <c r="DX12" s="106">
        <f t="shared" si="41"/>
        <v>6800000</v>
      </c>
      <c r="DY12" s="106">
        <f t="shared" si="42"/>
        <v>1100000</v>
      </c>
      <c r="DZ12" s="106">
        <f t="shared" si="43"/>
        <v>1000000</v>
      </c>
      <c r="EA12" s="106">
        <f>_xlfn.XLOOKUP(C12,[1]Timesheet!$B$7:$B$565,[1]Timesheet!$BI$7:$BI$565,0)</f>
        <v>7</v>
      </c>
      <c r="EB12" s="106">
        <f t="shared" si="44"/>
        <v>0</v>
      </c>
      <c r="EC12" s="106">
        <f t="shared" si="45"/>
        <v>0</v>
      </c>
      <c r="ED12" s="106">
        <f t="shared" si="46"/>
        <v>0</v>
      </c>
      <c r="EE12" s="106">
        <f t="shared" si="47"/>
        <v>0</v>
      </c>
      <c r="EF12" s="99">
        <f>ROUND((SUM(N12:P12)+W12+X12+T12+U12+V12)/($J$3*8)*_xlfn.XLOOKUP(C12,[1]Overtime!$B$9:$B$557,[1]Overtime!$AU$9:$AU$557,0),0)</f>
        <v>0</v>
      </c>
      <c r="EG12" s="99">
        <f>ROUND(((SUM(N12:P12)+W12+X12+T12+U12+V12)/($J$3*8))*_xlfn.XLOOKUP(C12,[1]Overtime!$B$9:$B$557,[1]Overtime!$AY$9:$AY$557,0),0)</f>
        <v>0</v>
      </c>
      <c r="EH12" s="99">
        <f t="shared" si="48"/>
        <v>0</v>
      </c>
      <c r="EI12" s="99">
        <f t="shared" si="49"/>
        <v>0</v>
      </c>
      <c r="EJ12" s="99">
        <f t="shared" si="49"/>
        <v>0</v>
      </c>
      <c r="EK12" s="99">
        <f>ROUND((SUM(N12:P12)+W12+X12+T12+U12+V12)/($J$3*8)*_xlfn.XLOOKUP(C12,[1]Overtime!$B$9:$B$557,[1]Overtime!$AO$9:$AO$557,0)*1.5,0)</f>
        <v>0</v>
      </c>
      <c r="EL12" s="99">
        <f>ROUND((SUM(N12:P12)+W12+X12+T12+U12+V12)/($J$3*8)*_xlfn.XLOOKUP(C12,[1]Overtime!$B$9:$B$557,[1]Overtime!$AP$9:$AP$557,0)*2,0)</f>
        <v>0</v>
      </c>
      <c r="EM12" s="99">
        <f t="shared" si="50"/>
        <v>0</v>
      </c>
      <c r="EN12" s="99">
        <f t="shared" si="51"/>
        <v>0</v>
      </c>
      <c r="EO12" s="99">
        <f t="shared" si="52"/>
        <v>0</v>
      </c>
      <c r="EP12" s="99">
        <f t="shared" si="53"/>
        <v>0</v>
      </c>
      <c r="EQ12" s="87">
        <v>0</v>
      </c>
      <c r="ER12" s="87">
        <f t="shared" si="54"/>
        <v>0</v>
      </c>
      <c r="ET12" s="87"/>
      <c r="EU12" s="88"/>
      <c r="EV12" s="87"/>
    </row>
    <row r="13" spans="1:152" s="107" customFormat="1" ht="27.75" customHeight="1" x14ac:dyDescent="0.25">
      <c r="A13" s="89"/>
      <c r="B13" s="90">
        <f t="shared" si="56"/>
        <v>4</v>
      </c>
      <c r="C13" s="91" t="s">
        <v>227</v>
      </c>
      <c r="D13" s="92" t="s">
        <v>228</v>
      </c>
      <c r="E13" s="92" t="str">
        <f t="shared" si="3"/>
        <v>Resigned - Official</v>
      </c>
      <c r="F13" s="93">
        <f t="shared" si="4"/>
        <v>0</v>
      </c>
      <c r="G13" s="92" t="s">
        <v>213</v>
      </c>
      <c r="H13" s="91" t="s">
        <v>214</v>
      </c>
      <c r="I13" s="94" t="s">
        <v>229</v>
      </c>
      <c r="J13" s="95" t="s">
        <v>213</v>
      </c>
      <c r="K13" s="95" t="s">
        <v>216</v>
      </c>
      <c r="L13" s="96">
        <f t="shared" si="5"/>
        <v>6500000</v>
      </c>
      <c r="M13" s="97">
        <f t="shared" si="6"/>
        <v>6500000</v>
      </c>
      <c r="N13" s="97">
        <v>5200000</v>
      </c>
      <c r="O13" s="97">
        <v>300000</v>
      </c>
      <c r="P13" s="97">
        <v>0</v>
      </c>
      <c r="Q13" s="97">
        <v>0</v>
      </c>
      <c r="R13" s="97">
        <v>300000</v>
      </c>
      <c r="S13" s="97">
        <v>0</v>
      </c>
      <c r="T13" s="97">
        <v>0</v>
      </c>
      <c r="U13" s="97">
        <v>0</v>
      </c>
      <c r="V13" s="97">
        <v>0</v>
      </c>
      <c r="W13" s="97">
        <v>1000000</v>
      </c>
      <c r="X13" s="97">
        <v>0</v>
      </c>
      <c r="Y13" s="98">
        <f>_xlfn.XLOOKUP(C13,[1]Timesheet!$B$9:$B$25,[1]Timesheet!$AO$9:$AO$25,0,,1)</f>
        <v>0</v>
      </c>
      <c r="Z13" s="99">
        <f t="shared" si="7"/>
        <v>0</v>
      </c>
      <c r="AA13" s="99">
        <f>ROUND(O13/$J$3*(Y13+_xlfn.XLOOKUP(C13,[1]Timesheet!B:B,[1]Timesheet!BS:BS,0)),0)</f>
        <v>0</v>
      </c>
      <c r="AB13" s="99">
        <f>ROUND(IF(Y13&gt;=8,P13,(P13/$J$3)*(Y13+_xlfn.XLOOKUP(C13,[1]Timesheet!B:B,[1]Timesheet!BS:BS,0))),0)</f>
        <v>0</v>
      </c>
      <c r="AC13" s="99">
        <f t="shared" si="8"/>
        <v>0</v>
      </c>
      <c r="AD13" s="99">
        <f>IF(_xlfn.XLOOKUP(Salary!C13,[1]Bus!B:B,[1]Bus!G:G,"",,-1)=1,0,ROUND((R13/$J$3)*ROUND(Y13+_xlfn.XLOOKUP(C13,[1]Timesheet!B:B,[1]Timesheet!BS:BS,0,,-1),0),0))</f>
        <v>0</v>
      </c>
      <c r="AE13" s="99">
        <f t="shared" si="9"/>
        <v>0</v>
      </c>
      <c r="AF13" s="99">
        <f>ROUND(IF(Y13&gt;=8,T13,(T13/$J$3)*(Y13+_xlfn.XLOOKUP(C13,[1]Timesheet!B:B,[1]Timesheet!BS:BS,0))),0)</f>
        <v>0</v>
      </c>
      <c r="AG13" s="99">
        <f>ROUND(IF(Y13&gt;=8,U13,(U13/$J$3)*(Y13+_xlfn.XLOOKUP(C13,[1]Timesheet!B:B,[1]Timesheet!BS:BS,0))),0)</f>
        <v>0</v>
      </c>
      <c r="AH13" s="99">
        <f>ROUND(IF(OR(CR13&gt;0,Y13&lt;8),(V13/$J$3)*(Y13+_xlfn.XLOOKUP(C13,[1]Timesheet!B:B,[1]Timesheet!BS:BS,0)),V13),0)</f>
        <v>0</v>
      </c>
      <c r="AI13" s="99">
        <f t="shared" si="10"/>
        <v>0</v>
      </c>
      <c r="AJ13" s="99">
        <f>IF(Y13&gt;0,ROUND(IF(LEN(CR13)&gt;2,(X13/$J$3)*(Y13+_xlfn.XLOOKUP(C13,[1]Timesheet!B:B,[1]Timesheet!BS:BS,0)),X13),0),0)</f>
        <v>0</v>
      </c>
      <c r="AK13" s="98">
        <f>_xlfn.XLOOKUP(C13,[1]Overtime!$B$7:$B$557,[1]Overtime!$AN$7:$AN$557,0)</f>
        <v>0</v>
      </c>
      <c r="AL13" s="99">
        <f>ROUND(((SUM(N13:P13)+SUM(T13:X13))/($J$3*8))*_xlfn.XLOOKUP(C13,[1]Overtime!$B$9:$B$557,[1]Overtime!$AU$9:$AU$557,0),0)</f>
        <v>0</v>
      </c>
      <c r="AM13" s="99">
        <f>ROUND(((SUM(N13:P13)+SUM(T13:X13))/($J$3*8))*_xlfn.XLOOKUP(C13,[1]Overtime!$B$9:$B$557,[1]Overtime!$AY$9:$AY$557,0),0)</f>
        <v>0</v>
      </c>
      <c r="AN13" s="99">
        <f t="shared" si="11"/>
        <v>0</v>
      </c>
      <c r="AO13" s="99"/>
      <c r="AP13" s="99"/>
      <c r="AQ13" s="99"/>
      <c r="AR13" s="99">
        <f>ROUND(_xlfn.XLOOKUP(C13,[1]Timesheet!$B$9:$B$458,[1]Timesheet!$BQ$9:$BQ$458,,,-1)*SUM(Salary!N13:P13,Salary!T13:X13)*20%/Salary!$J$3,0)</f>
        <v>0</v>
      </c>
      <c r="AS13" s="99">
        <v>20000</v>
      </c>
      <c r="AT13" s="99">
        <v>0</v>
      </c>
      <c r="AU13" s="99"/>
      <c r="AV13" s="99">
        <f>IF(CV13="x",IF(IF(CR13&gt;0,$CW$3-_xlfn.XLOOKUP(C13,[1]Timesheet!B:B,[1]Timesheet!BW:BW,0,,-1),$CW$3-_xlfn.XLOOKUP(C13,[1]Timesheet!B:B,[1]Timesheet!BW:BW,0,,-1)-$EB$3)&lt;14,ROUND(L13*20.5%+M13*1%,0),0),0)</f>
        <v>0</v>
      </c>
      <c r="AW13" s="99">
        <f t="shared" si="12"/>
        <v>0</v>
      </c>
      <c r="AX13" s="99">
        <f t="shared" si="13"/>
        <v>140625</v>
      </c>
      <c r="AY13" s="99"/>
      <c r="AZ13" s="99">
        <v>0</v>
      </c>
      <c r="BA13" s="99"/>
      <c r="BB13" s="99"/>
      <c r="BC13" s="99"/>
      <c r="BD13" s="99"/>
      <c r="BE13" s="99">
        <f t="shared" si="14"/>
        <v>160625</v>
      </c>
      <c r="BF13" s="99">
        <f t="shared" si="55"/>
        <v>0</v>
      </c>
      <c r="BG13" s="97">
        <v>0</v>
      </c>
      <c r="BH13" s="99"/>
      <c r="BI13" s="99">
        <f t="shared" ref="BI13" si="57">IF(CV13="x",0,ROUND(L13*1.5%,0))</f>
        <v>97500</v>
      </c>
      <c r="BJ13" s="99">
        <f t="shared" si="16"/>
        <v>0</v>
      </c>
      <c r="BK13" s="99">
        <f t="shared" si="17"/>
        <v>0</v>
      </c>
      <c r="BL13" s="99">
        <f t="shared" si="18"/>
        <v>160625</v>
      </c>
      <c r="BM13" s="99">
        <f t="shared" si="19"/>
        <v>160625</v>
      </c>
      <c r="BN13" s="99">
        <f t="shared" si="20"/>
        <v>0</v>
      </c>
      <c r="BO13" s="99">
        <f t="shared" si="21"/>
        <v>97500</v>
      </c>
      <c r="BP13" s="99">
        <f t="shared" si="22"/>
        <v>0</v>
      </c>
      <c r="BQ13" s="99">
        <f t="shared" si="23"/>
        <v>195000</v>
      </c>
      <c r="BR13" s="99">
        <f t="shared" si="24"/>
        <v>0</v>
      </c>
      <c r="BS13" s="99">
        <f t="shared" si="25"/>
        <v>0</v>
      </c>
      <c r="BT13" s="99"/>
      <c r="BU13" s="99"/>
      <c r="BV13" s="99"/>
      <c r="BW13" s="99">
        <v>0</v>
      </c>
      <c r="BX13" s="99"/>
      <c r="BY13" s="99"/>
      <c r="BZ13" s="99"/>
      <c r="CA13" s="99"/>
      <c r="CB13" s="99"/>
      <c r="CC13" s="99"/>
      <c r="CD13" s="99"/>
      <c r="CE13" s="99"/>
      <c r="CF13" s="99"/>
      <c r="CG13" s="99">
        <f t="shared" si="26"/>
        <v>63125</v>
      </c>
      <c r="CH13" s="99">
        <f t="shared" si="27"/>
        <v>355625</v>
      </c>
      <c r="CI13" s="99">
        <f t="shared" si="28"/>
        <v>0</v>
      </c>
      <c r="CJ13" s="100">
        <v>0</v>
      </c>
      <c r="CK13" s="101">
        <f t="shared" si="29"/>
        <v>0</v>
      </c>
      <c r="CL13" s="102">
        <f>3*1.5</f>
        <v>4.5</v>
      </c>
      <c r="CM13" s="96">
        <f t="shared" si="30"/>
        <v>140625</v>
      </c>
      <c r="CN13" s="101"/>
      <c r="CO13" s="101">
        <f t="shared" si="31"/>
        <v>140625</v>
      </c>
      <c r="CP13" s="103">
        <v>46133</v>
      </c>
      <c r="CQ13" s="103">
        <v>46163</v>
      </c>
      <c r="CR13" s="104">
        <v>46207</v>
      </c>
      <c r="CS13" s="103">
        <v>0</v>
      </c>
      <c r="CT13" s="103">
        <v>0</v>
      </c>
      <c r="CU13" s="101"/>
      <c r="CV13" s="103"/>
      <c r="CW13" s="103"/>
      <c r="CX13" s="105"/>
      <c r="CY13" s="105"/>
      <c r="CZ13" s="105"/>
      <c r="DA13" s="99"/>
      <c r="DB13" s="106"/>
      <c r="DC13" s="106">
        <f>_xlfn.XLOOKUP(C13,[1]Overtime!$B$8:$B$2327,[1]Overtime!$BA$8:$BA$2327,"",,-1)</f>
        <v>0</v>
      </c>
      <c r="DD13" s="106">
        <f>_xlfn.XLOOKUP(C13,[1]Timesheet!$B$9:$B$2328,[1]Timesheet!$BS$9:$BS$2328,0,,-1)</f>
        <v>0</v>
      </c>
      <c r="DE13" s="106">
        <f>_xlfn.XLOOKUP(C13,[1]Timesheet!$B$7:$B$616,[1]Timesheet!$BK$7:$BK$616,0)+_xlfn.XLOOKUP(C13,[1]Timesheet!$B$7:$B$616,[1]Timesheet!$AV$7:$AV$616,0)-_xlfn.XLOOKUP(C13,[1]Timesheet!$B$7:$B$616,[1]Timesheet!$AX$7:$AX$616,0)+_xlfn.XLOOKUP(C13,[1]Timesheet!$B$7:$B$616,[1]Timesheet!$AW$7:$AW$616,0)-_xlfn.XLOOKUP(C13,[1]Timesheet!$B$7:$B$616,[1]Timesheet!$AY$7:$AY$616,0)</f>
        <v>0</v>
      </c>
      <c r="DF13" s="106">
        <f t="shared" si="32"/>
        <v>0</v>
      </c>
      <c r="DG13" s="106">
        <f>_xlfn.XLOOKUP(C13,[1]Timesheet!$B$7:$B$616,[1]Timesheet!$BV$7:$BV$616,0)+_xlfn.XLOOKUP(C13,[1]Timesheet!$B$7:$B$616,[1]Timesheet!$AX$7:$AX$616,0)++_xlfn.XLOOKUP(C13,[1]Timesheet!$B$7:$B$616,[1]Timesheet!$AY$7:$AY$616,0)</f>
        <v>7</v>
      </c>
      <c r="DH13" s="106">
        <f t="shared" si="33"/>
        <v>-1000000</v>
      </c>
      <c r="DI13" s="106">
        <f>_xlfn.XLOOKUP(C13,[1]Timesheet!$B$7:$B$616,[1]Timesheet!$AZ$7:$AZ$616,0)+_xlfn.XLOOKUP(C13,[1]Timesheet!$B$7:$B$616,[1]Timesheet!$BA$7:$BA$616,0)</f>
        <v>0</v>
      </c>
      <c r="DJ13" s="106">
        <f>IF(CW13="x",IF((ROUND(Y13*W13/$J$3,0))&lt;0,0,ROUND(Y13*W13/$J$3,0)),IF(OR(CR13&gt;0,CS13&gt;0,CT13&gt;0),W13/$J$3*(Y13+_xlfn.XLOOKUP(C13,[1]Timesheet!B:B,[1]Timesheet!BS:BS,0,,-1)+_xlfn.XLOOKUP(C13,[1]Timesheet!B:B,[1]Timesheet!BU:BU,0,,-1)),IF(OR(DH13&lt;0,DF13&lt;0),IF(DI13&gt;0,W13/$J$3*($J$3-DI13),W13),W13/$J$3*(Y13+_xlfn.XLOOKUP(C13,[1]Timesheet!B:B,[1]Timesheet!BS:BS,0,,-1)+_xlfn.XLOOKUP(C13,[1]Timesheet!B:B,[1]Timesheet!BU:BU,0,,-1)))))</f>
        <v>0</v>
      </c>
      <c r="DK13" s="106">
        <f t="shared" si="34"/>
        <v>-1000000</v>
      </c>
      <c r="DL13" s="106">
        <f>_xlfn.XLOOKUP(C13,[1]Timesheet!$B$7:$B$565,[1]Timesheet!$BB$7:$BB$565,0)</f>
        <v>0</v>
      </c>
      <c r="DM13" s="106">
        <f>_xlfn.XLOOKUP(C13,[1]Timesheet!$B$7:$B$565,[1]Timesheet!$BC$7:$BC$565,0)</f>
        <v>0</v>
      </c>
      <c r="DN13" s="106">
        <f>_xlfn.XLOOKUP(C13,[1]Timesheet!$B$7:$B$565,[1]Timesheet!$BF$7:$BF$565,0)</f>
        <v>0</v>
      </c>
      <c r="DO13" s="106">
        <f>_xlfn.XLOOKUP(C13,[1]Timesheet!$B$7:$B$565,[1]Timesheet!$BJ$7:$BJ$565,0)</f>
        <v>3</v>
      </c>
      <c r="DP13" s="106">
        <f t="shared" si="35"/>
        <v>3</v>
      </c>
      <c r="DQ13" s="106">
        <f>_xlfn.XLOOKUP(C13,[1]Timesheet!$B$7:$B$565,[1]Timesheet!$BT$7:$BT$565,0)</f>
        <v>21</v>
      </c>
      <c r="DR13" s="106">
        <f>_xlfn.XLOOKUP(C13,[1]Timesheet!$B$7:$B$565,[1]Timesheet!$BM$7:$BM$565,0)</f>
        <v>0</v>
      </c>
      <c r="DS13" s="106">
        <f t="shared" si="36"/>
        <v>0</v>
      </c>
      <c r="DT13" s="106">
        <f t="shared" si="37"/>
        <v>0</v>
      </c>
      <c r="DU13" s="106">
        <f t="shared" si="38"/>
        <v>195000</v>
      </c>
      <c r="DV13" s="106">
        <f t="shared" si="39"/>
        <v>0</v>
      </c>
      <c r="DW13" s="106">
        <f t="shared" si="40"/>
        <v>0</v>
      </c>
      <c r="DX13" s="106">
        <f t="shared" si="41"/>
        <v>6800000</v>
      </c>
      <c r="DY13" s="106">
        <f t="shared" si="42"/>
        <v>600000</v>
      </c>
      <c r="DZ13" s="106">
        <f t="shared" si="43"/>
        <v>1000000</v>
      </c>
      <c r="EA13" s="106">
        <f>_xlfn.XLOOKUP(C13,[1]Timesheet!$B$7:$B$565,[1]Timesheet!$BI$7:$BI$565,0)</f>
        <v>7</v>
      </c>
      <c r="EB13" s="106">
        <f t="shared" si="44"/>
        <v>0</v>
      </c>
      <c r="EC13" s="106">
        <f t="shared" si="45"/>
        <v>0</v>
      </c>
      <c r="ED13" s="106">
        <f t="shared" si="46"/>
        <v>0</v>
      </c>
      <c r="EE13" s="106">
        <f t="shared" si="47"/>
        <v>0</v>
      </c>
      <c r="EF13" s="99">
        <f>ROUND((SUM(N13:P13)+W13+X13+T13+U13+V13)/($J$3*8)*_xlfn.XLOOKUP(C13,[1]Overtime!$B$9:$B$557,[1]Overtime!$AU$9:$AU$557,0),0)</f>
        <v>0</v>
      </c>
      <c r="EG13" s="99">
        <f>ROUND(((SUM(N13:P13)+W13+X13+T13+U13+V13)/($J$3*8))*_xlfn.XLOOKUP(C13,[1]Overtime!$B$9:$B$557,[1]Overtime!$AY$9:$AY$557,0),0)</f>
        <v>0</v>
      </c>
      <c r="EH13" s="99">
        <f t="shared" si="48"/>
        <v>0</v>
      </c>
      <c r="EI13" s="99">
        <f t="shared" si="49"/>
        <v>0</v>
      </c>
      <c r="EJ13" s="99">
        <f t="shared" si="49"/>
        <v>0</v>
      </c>
      <c r="EK13" s="99">
        <f>ROUND((SUM(N13:P13)+W13+X13+T13+U13+V13)/($J$3*8)*_xlfn.XLOOKUP(C13,[1]Overtime!$B$9:$B$557,[1]Overtime!$AO$9:$AO$557,0)*1.5,0)</f>
        <v>0</v>
      </c>
      <c r="EL13" s="99">
        <f>ROUND((SUM(N13:P13)+W13+X13+T13+U13+V13)/($J$3*8)*_xlfn.XLOOKUP(C13,[1]Overtime!$B$9:$B$557,[1]Overtime!$AP$9:$AP$557,0)*2,0)</f>
        <v>0</v>
      </c>
      <c r="EM13" s="99">
        <f t="shared" si="50"/>
        <v>0</v>
      </c>
      <c r="EN13" s="99">
        <f t="shared" si="51"/>
        <v>0</v>
      </c>
      <c r="EO13" s="99">
        <f t="shared" si="52"/>
        <v>0</v>
      </c>
      <c r="EP13" s="99">
        <f t="shared" si="53"/>
        <v>0</v>
      </c>
      <c r="EQ13" s="87">
        <v>0</v>
      </c>
      <c r="ER13" s="87">
        <f t="shared" si="54"/>
        <v>0</v>
      </c>
      <c r="ET13" s="87"/>
      <c r="EU13" s="88"/>
      <c r="EV13" s="87"/>
    </row>
    <row r="14" spans="1:152" s="107" customFormat="1" ht="27.75" customHeight="1" x14ac:dyDescent="0.25">
      <c r="A14" s="89"/>
      <c r="B14" s="90">
        <f t="shared" si="56"/>
        <v>5</v>
      </c>
      <c r="C14" s="91" t="s">
        <v>230</v>
      </c>
      <c r="D14" s="92" t="s">
        <v>231</v>
      </c>
      <c r="E14" s="92" t="str">
        <f t="shared" si="3"/>
        <v>Probation</v>
      </c>
      <c r="F14" s="93">
        <f t="shared" si="4"/>
        <v>0</v>
      </c>
      <c r="G14" s="92" t="s">
        <v>219</v>
      </c>
      <c r="H14" s="91" t="s">
        <v>220</v>
      </c>
      <c r="I14" s="94" t="s">
        <v>221</v>
      </c>
      <c r="J14" s="95" t="s">
        <v>219</v>
      </c>
      <c r="K14" s="95" t="s">
        <v>222</v>
      </c>
      <c r="L14" s="96">
        <f t="shared" si="5"/>
        <v>6700000</v>
      </c>
      <c r="M14" s="97">
        <f t="shared" si="6"/>
        <v>6700000</v>
      </c>
      <c r="N14" s="97">
        <v>5400000</v>
      </c>
      <c r="O14" s="97">
        <v>300000</v>
      </c>
      <c r="P14" s="97">
        <v>0</v>
      </c>
      <c r="Q14" s="97">
        <v>0</v>
      </c>
      <c r="R14" s="97">
        <v>300000</v>
      </c>
      <c r="S14" s="97">
        <v>0</v>
      </c>
      <c r="T14" s="97">
        <v>0</v>
      </c>
      <c r="U14" s="97">
        <v>0</v>
      </c>
      <c r="V14" s="97">
        <v>0</v>
      </c>
      <c r="W14" s="97">
        <v>1000000</v>
      </c>
      <c r="X14" s="97">
        <v>0</v>
      </c>
      <c r="Y14" s="98">
        <f>_xlfn.XLOOKUP(C14,[1]Timesheet!$B$9:$B$25,[1]Timesheet!$AO$9:$AO$25,0,,1)</f>
        <v>0.5</v>
      </c>
      <c r="Z14" s="99">
        <f t="shared" si="7"/>
        <v>103846</v>
      </c>
      <c r="AA14" s="99">
        <f>ROUND(O14/$J$3*(Y14+_xlfn.XLOOKUP(C14,[1]Timesheet!B:B,[1]Timesheet!BS:BS,0)),0)</f>
        <v>5769</v>
      </c>
      <c r="AB14" s="99">
        <f>ROUND(IF(Y14&gt;=8,P14,(P14/$J$3)*(Y14+_xlfn.XLOOKUP(C14,[1]Timesheet!B:B,[1]Timesheet!BS:BS,0))),0)</f>
        <v>0</v>
      </c>
      <c r="AC14" s="99">
        <f t="shared" si="8"/>
        <v>0</v>
      </c>
      <c r="AD14" s="99">
        <f>IF(_xlfn.XLOOKUP(Salary!C14,[1]Bus!B:B,[1]Bus!G:G,"",,-1)=1,0,ROUND((R14/$J$3)*ROUND(Y14+_xlfn.XLOOKUP(C14,[1]Timesheet!B:B,[1]Timesheet!BS:BS,0,,-1),0),0))</f>
        <v>11538</v>
      </c>
      <c r="AE14" s="99">
        <f t="shared" si="9"/>
        <v>0</v>
      </c>
      <c r="AF14" s="99">
        <f>ROUND(IF(Y14&gt;=8,T14,(T14/$J$3)*(Y14+_xlfn.XLOOKUP(C14,[1]Timesheet!B:B,[1]Timesheet!BS:BS,0))),0)</f>
        <v>0</v>
      </c>
      <c r="AG14" s="99">
        <f>ROUND(IF(Y14&gt;=8,U14,(U14/$J$3)*(Y14+_xlfn.XLOOKUP(C14,[1]Timesheet!B:B,[1]Timesheet!BS:BS,0))),0)</f>
        <v>0</v>
      </c>
      <c r="AH14" s="99">
        <f>ROUND(IF(OR(CR14&gt;0,Y14&lt;8),(V14/$J$3)*(Y14+_xlfn.XLOOKUP(C14,[1]Timesheet!B:B,[1]Timesheet!BS:BS,0)),V14),0)</f>
        <v>0</v>
      </c>
      <c r="AI14" s="99">
        <f t="shared" si="10"/>
        <v>0</v>
      </c>
      <c r="AJ14" s="99">
        <f>IF(Y14&gt;0,ROUND(IF(LEN(CR14)&gt;2,(X14/$J$3)*(Y14+_xlfn.XLOOKUP(C14,[1]Timesheet!B:B,[1]Timesheet!BS:BS,0)),X14),0),0)</f>
        <v>0</v>
      </c>
      <c r="AK14" s="98">
        <f>_xlfn.XLOOKUP(C14,[1]Overtime!$B$7:$B$557,[1]Overtime!$AN$7:$AN$557,0)</f>
        <v>0</v>
      </c>
      <c r="AL14" s="99">
        <f>ROUND(((SUM(N14:P14)+SUM(T14:X14))/($J$3*8))*_xlfn.XLOOKUP(C14,[1]Overtime!$B$9:$B$557,[1]Overtime!$AU$9:$AU$557,0),0)</f>
        <v>0</v>
      </c>
      <c r="AM14" s="99">
        <f>ROUND(((SUM(N14:P14)+SUM(T14:X14))/($J$3*8))*_xlfn.XLOOKUP(C14,[1]Overtime!$B$9:$B$557,[1]Overtime!$AY$9:$AY$557,0),0)</f>
        <v>0</v>
      </c>
      <c r="AN14" s="99">
        <f t="shared" si="11"/>
        <v>0</v>
      </c>
      <c r="AO14" s="99"/>
      <c r="AP14" s="99"/>
      <c r="AQ14" s="99"/>
      <c r="AR14" s="99">
        <f>ROUND(_xlfn.XLOOKUP(C14,[1]Timesheet!$B$9:$B$458,[1]Timesheet!$BQ$9:$BQ$458,,,-1)*SUM(Salary!N14:P14,Salary!T14:X14)*20%/Salary!$J$3,0)</f>
        <v>0</v>
      </c>
      <c r="AS14" s="99">
        <v>0</v>
      </c>
      <c r="AT14" s="99">
        <v>0</v>
      </c>
      <c r="AU14" s="99"/>
      <c r="AV14" s="99">
        <f>IF(CV14="x",IF(IF(CR14&gt;0,$CW$3-_xlfn.XLOOKUP(C14,[1]Timesheet!B:B,[1]Timesheet!BW:BW,0,,-1),$CW$3-_xlfn.XLOOKUP(C14,[1]Timesheet!B:B,[1]Timesheet!BW:BW,0,,-1)-$EB$3)&lt;14,ROUND(L14*20.5%+M14*1%,0),0),0)</f>
        <v>0</v>
      </c>
      <c r="AW14" s="99">
        <f t="shared" si="12"/>
        <v>0</v>
      </c>
      <c r="AX14" s="99">
        <f t="shared" si="13"/>
        <v>0</v>
      </c>
      <c r="AY14" s="99"/>
      <c r="AZ14" s="99">
        <v>0</v>
      </c>
      <c r="BA14" s="99"/>
      <c r="BB14" s="99"/>
      <c r="BC14" s="99"/>
      <c r="BD14" s="99"/>
      <c r="BE14" s="99">
        <f t="shared" si="14"/>
        <v>121153</v>
      </c>
      <c r="BF14" s="99">
        <f t="shared" si="55"/>
        <v>0</v>
      </c>
      <c r="BG14" s="97">
        <v>0</v>
      </c>
      <c r="BH14" s="99"/>
      <c r="BI14" s="99"/>
      <c r="BJ14" s="99">
        <f t="shared" si="16"/>
        <v>0</v>
      </c>
      <c r="BK14" s="99">
        <f t="shared" si="17"/>
        <v>0</v>
      </c>
      <c r="BL14" s="99">
        <f t="shared" si="18"/>
        <v>121153</v>
      </c>
      <c r="BM14" s="99">
        <f t="shared" si="19"/>
        <v>121153</v>
      </c>
      <c r="BN14" s="99">
        <f t="shared" si="20"/>
        <v>0</v>
      </c>
      <c r="BO14" s="99">
        <f t="shared" si="21"/>
        <v>0</v>
      </c>
      <c r="BP14" s="99">
        <f t="shared" si="22"/>
        <v>0</v>
      </c>
      <c r="BQ14" s="99">
        <f t="shared" si="23"/>
        <v>0</v>
      </c>
      <c r="BR14" s="99">
        <f t="shared" si="24"/>
        <v>0</v>
      </c>
      <c r="BS14" s="99">
        <f t="shared" si="25"/>
        <v>0</v>
      </c>
      <c r="BT14" s="99"/>
      <c r="BU14" s="99"/>
      <c r="BV14" s="99"/>
      <c r="BW14" s="99">
        <v>0</v>
      </c>
      <c r="BX14" s="99"/>
      <c r="BY14" s="99"/>
      <c r="BZ14" s="99"/>
      <c r="CA14" s="99"/>
      <c r="CB14" s="99"/>
      <c r="CC14" s="99"/>
      <c r="CD14" s="99"/>
      <c r="CE14" s="99"/>
      <c r="CF14" s="99"/>
      <c r="CG14" s="99">
        <f t="shared" si="26"/>
        <v>121153</v>
      </c>
      <c r="CH14" s="99">
        <f t="shared" si="27"/>
        <v>121153</v>
      </c>
      <c r="CI14" s="99">
        <f t="shared" si="28"/>
        <v>0</v>
      </c>
      <c r="CJ14" s="100"/>
      <c r="CK14" s="101">
        <f t="shared" si="29"/>
        <v>0</v>
      </c>
      <c r="CL14" s="102"/>
      <c r="CM14" s="96">
        <f t="shared" si="30"/>
        <v>0</v>
      </c>
      <c r="CN14" s="101"/>
      <c r="CO14" s="101">
        <f t="shared" si="31"/>
        <v>0</v>
      </c>
      <c r="CP14" s="103">
        <v>46178</v>
      </c>
      <c r="CQ14" s="103">
        <v>46208</v>
      </c>
      <c r="CR14" s="104">
        <v>46202</v>
      </c>
      <c r="CS14" s="103">
        <v>0</v>
      </c>
      <c r="CT14" s="103">
        <v>0</v>
      </c>
      <c r="CU14" s="101"/>
      <c r="CV14" s="103" t="s">
        <v>226</v>
      </c>
      <c r="CW14" s="103" t="s">
        <v>226</v>
      </c>
      <c r="CX14" s="105"/>
      <c r="CY14" s="105"/>
      <c r="CZ14" s="105"/>
      <c r="DA14" s="99"/>
      <c r="DB14" s="106"/>
      <c r="DC14" s="106">
        <f>_xlfn.XLOOKUP(C14,[1]Overtime!$B$8:$B$2327,[1]Overtime!$BA$8:$BA$2327,"",,-1)</f>
        <v>0</v>
      </c>
      <c r="DD14" s="106">
        <f>_xlfn.XLOOKUP(C14,[1]Timesheet!$B$9:$B$2328,[1]Timesheet!$BS$9:$BS$2328,0,,-1)</f>
        <v>0</v>
      </c>
      <c r="DE14" s="106">
        <f>_xlfn.XLOOKUP(C14,[1]Timesheet!$B$7:$B$616,[1]Timesheet!$BK$7:$BK$616,0)+_xlfn.XLOOKUP(C14,[1]Timesheet!$B$7:$B$616,[1]Timesheet!$AV$7:$AV$616,0)-_xlfn.XLOOKUP(C14,[1]Timesheet!$B$7:$B$616,[1]Timesheet!$AX$7:$AX$616,0)+_xlfn.XLOOKUP(C14,[1]Timesheet!$B$7:$B$616,[1]Timesheet!$AW$7:$AW$616,0)-_xlfn.XLOOKUP(C14,[1]Timesheet!$B$7:$B$616,[1]Timesheet!$AY$7:$AY$616,0)</f>
        <v>1</v>
      </c>
      <c r="DF14" s="106">
        <f t="shared" si="32"/>
        <v>-100000</v>
      </c>
      <c r="DG14" s="106">
        <f>_xlfn.XLOOKUP(C14,[1]Timesheet!$B$7:$B$616,[1]Timesheet!$BV$7:$BV$616,0)+_xlfn.XLOOKUP(C14,[1]Timesheet!$B$7:$B$616,[1]Timesheet!$AX$7:$AX$616,0)++_xlfn.XLOOKUP(C14,[1]Timesheet!$B$7:$B$616,[1]Timesheet!$AY$7:$AY$616,0)</f>
        <v>1</v>
      </c>
      <c r="DH14" s="106">
        <f t="shared" si="33"/>
        <v>-200000</v>
      </c>
      <c r="DI14" s="106">
        <f>_xlfn.XLOOKUP(C14,[1]Timesheet!$B$7:$B$616,[1]Timesheet!$AZ$7:$AZ$616,0)+_xlfn.XLOOKUP(C14,[1]Timesheet!$B$7:$B$616,[1]Timesheet!$BA$7:$BA$616,0)</f>
        <v>0</v>
      </c>
      <c r="DJ14" s="106">
        <f>IF(CW14="x",IF((ROUND(Y14*W14/$J$3,0))&lt;0,0,ROUND(Y14*W14/$J$3,0)),IF(OR(CR14&gt;0,CS14&gt;0,CT14&gt;0),W14/$J$3*(Y14+_xlfn.XLOOKUP(C14,[1]Timesheet!B:B,[1]Timesheet!BS:BS,0,,-1)+_xlfn.XLOOKUP(C14,[1]Timesheet!B:B,[1]Timesheet!BU:BU,0,,-1)),IF(OR(DH14&lt;0,DF14&lt;0),IF(DI14&gt;0,W14/$J$3*($J$3-DI14),W14),W14/$J$3*(Y14+_xlfn.XLOOKUP(C14,[1]Timesheet!B:B,[1]Timesheet!BS:BS,0,,-1)+_xlfn.XLOOKUP(C14,[1]Timesheet!B:B,[1]Timesheet!BU:BU,0,,-1)))))</f>
        <v>19231</v>
      </c>
      <c r="DK14" s="106">
        <f t="shared" si="34"/>
        <v>-300000</v>
      </c>
      <c r="DL14" s="106">
        <f>_xlfn.XLOOKUP(C14,[1]Timesheet!$B$7:$B$565,[1]Timesheet!$BB$7:$BB$565,0)</f>
        <v>0</v>
      </c>
      <c r="DM14" s="106">
        <f>_xlfn.XLOOKUP(C14,[1]Timesheet!$B$7:$B$565,[1]Timesheet!$BC$7:$BC$565,0)</f>
        <v>0</v>
      </c>
      <c r="DN14" s="106">
        <f>_xlfn.XLOOKUP(C14,[1]Timesheet!$B$7:$B$565,[1]Timesheet!$BF$7:$BF$565,0)</f>
        <v>0</v>
      </c>
      <c r="DO14" s="106">
        <f>_xlfn.XLOOKUP(C14,[1]Timesheet!$B$7:$B$565,[1]Timesheet!$BJ$7:$BJ$565,0)</f>
        <v>0</v>
      </c>
      <c r="DP14" s="106">
        <f t="shared" si="35"/>
        <v>0</v>
      </c>
      <c r="DQ14" s="106">
        <f>_xlfn.XLOOKUP(C14,[1]Timesheet!$B$7:$B$565,[1]Timesheet!$BT$7:$BT$565,0)</f>
        <v>21</v>
      </c>
      <c r="DR14" s="106">
        <f>_xlfn.XLOOKUP(C14,[1]Timesheet!$B$7:$B$565,[1]Timesheet!$BM$7:$BM$565,0)</f>
        <v>0</v>
      </c>
      <c r="DS14" s="106">
        <f t="shared" si="36"/>
        <v>0</v>
      </c>
      <c r="DT14" s="106">
        <f t="shared" si="37"/>
        <v>0</v>
      </c>
      <c r="DU14" s="106">
        <f t="shared" si="38"/>
        <v>0</v>
      </c>
      <c r="DV14" s="106">
        <f t="shared" si="39"/>
        <v>0</v>
      </c>
      <c r="DW14" s="106">
        <f t="shared" si="40"/>
        <v>0</v>
      </c>
      <c r="DX14" s="106">
        <f t="shared" si="41"/>
        <v>7000000</v>
      </c>
      <c r="DY14" s="106">
        <f t="shared" si="42"/>
        <v>600000</v>
      </c>
      <c r="DZ14" s="106">
        <f t="shared" si="43"/>
        <v>1000000</v>
      </c>
      <c r="EA14" s="106">
        <f>_xlfn.XLOOKUP(C14,[1]Timesheet!$B$7:$B$565,[1]Timesheet!$BI$7:$BI$565,0)</f>
        <v>1</v>
      </c>
      <c r="EB14" s="106">
        <f t="shared" si="44"/>
        <v>0</v>
      </c>
      <c r="EC14" s="106">
        <f t="shared" si="45"/>
        <v>0</v>
      </c>
      <c r="ED14" s="106">
        <f t="shared" si="46"/>
        <v>0</v>
      </c>
      <c r="EE14" s="106">
        <f t="shared" si="47"/>
        <v>0</v>
      </c>
      <c r="EF14" s="99">
        <f>ROUND((SUM(N14:P14)+W14+X14+T14+U14+V14)/($J$3*8)*_xlfn.XLOOKUP(C14,[1]Overtime!$B$9:$B$557,[1]Overtime!$AU$9:$AU$557,0),0)</f>
        <v>0</v>
      </c>
      <c r="EG14" s="99">
        <f>ROUND(((SUM(N14:P14)+W14+X14+T14+U14+V14)/($J$3*8))*_xlfn.XLOOKUP(C14,[1]Overtime!$B$9:$B$557,[1]Overtime!$AY$9:$AY$557,0),0)</f>
        <v>0</v>
      </c>
      <c r="EH14" s="99">
        <f t="shared" si="48"/>
        <v>0</v>
      </c>
      <c r="EI14" s="99">
        <f t="shared" si="49"/>
        <v>0</v>
      </c>
      <c r="EJ14" s="99">
        <f t="shared" si="49"/>
        <v>0</v>
      </c>
      <c r="EK14" s="99">
        <f>ROUND((SUM(N14:P14)+W14+X14+T14+U14+V14)/($J$3*8)*_xlfn.XLOOKUP(C14,[1]Overtime!$B$9:$B$557,[1]Overtime!$AO$9:$AO$557,0)*1.5,0)</f>
        <v>0</v>
      </c>
      <c r="EL14" s="99">
        <f>ROUND((SUM(N14:P14)+W14+X14+T14+U14+V14)/($J$3*8)*_xlfn.XLOOKUP(C14,[1]Overtime!$B$9:$B$557,[1]Overtime!$AP$9:$AP$557,0)*2,0)</f>
        <v>0</v>
      </c>
      <c r="EM14" s="99">
        <f t="shared" si="50"/>
        <v>0</v>
      </c>
      <c r="EN14" s="99">
        <f t="shared" si="51"/>
        <v>19231</v>
      </c>
      <c r="EO14" s="99">
        <f t="shared" si="52"/>
        <v>0</v>
      </c>
      <c r="EP14" s="99">
        <f t="shared" si="53"/>
        <v>0</v>
      </c>
      <c r="EQ14" s="87">
        <v>0</v>
      </c>
      <c r="ER14" s="87">
        <f t="shared" si="54"/>
        <v>0</v>
      </c>
      <c r="ET14" s="87"/>
      <c r="EU14" s="88"/>
      <c r="EV14" s="87"/>
    </row>
    <row r="15" spans="1:152" s="107" customFormat="1" ht="27.75" customHeight="1" x14ac:dyDescent="0.25">
      <c r="A15" s="89"/>
      <c r="B15" s="90">
        <f t="shared" si="56"/>
        <v>6</v>
      </c>
      <c r="C15" s="91" t="s">
        <v>232</v>
      </c>
      <c r="D15" s="92" t="s">
        <v>233</v>
      </c>
      <c r="E15" s="92" t="str">
        <f t="shared" si="3"/>
        <v>Probation</v>
      </c>
      <c r="F15" s="93">
        <f t="shared" si="4"/>
        <v>0</v>
      </c>
      <c r="G15" s="92" t="s">
        <v>213</v>
      </c>
      <c r="H15" s="91" t="s">
        <v>214</v>
      </c>
      <c r="I15" s="94" t="s">
        <v>234</v>
      </c>
      <c r="J15" s="95" t="s">
        <v>213</v>
      </c>
      <c r="K15" s="95" t="s">
        <v>222</v>
      </c>
      <c r="L15" s="96">
        <f t="shared" si="5"/>
        <v>6300000</v>
      </c>
      <c r="M15" s="97">
        <f t="shared" si="6"/>
        <v>6300000</v>
      </c>
      <c r="N15" s="97">
        <v>5200000</v>
      </c>
      <c r="O15" s="97">
        <v>100000</v>
      </c>
      <c r="P15" s="97">
        <v>0</v>
      </c>
      <c r="Q15" s="97">
        <v>0</v>
      </c>
      <c r="R15" s="97">
        <v>300000</v>
      </c>
      <c r="S15" s="97">
        <v>0</v>
      </c>
      <c r="T15" s="97">
        <v>0</v>
      </c>
      <c r="U15" s="97">
        <v>0</v>
      </c>
      <c r="V15" s="97">
        <v>0</v>
      </c>
      <c r="W15" s="97">
        <v>1000000</v>
      </c>
      <c r="X15" s="97">
        <v>0</v>
      </c>
      <c r="Y15" s="98">
        <f>_xlfn.XLOOKUP(C15,[1]Timesheet!$B$9:$B$25,[1]Timesheet!$AO$9:$AO$25,0,,1)</f>
        <v>0</v>
      </c>
      <c r="Z15" s="99">
        <f t="shared" si="7"/>
        <v>0</v>
      </c>
      <c r="AA15" s="99">
        <f>ROUND(O15/$J$3*(Y15+_xlfn.XLOOKUP(C15,[1]Timesheet!B:B,[1]Timesheet!BS:BS,0)),0)</f>
        <v>0</v>
      </c>
      <c r="AB15" s="99">
        <f>ROUND(IF(Y15&gt;=8,P15,(P15/$J$3)*(Y15+_xlfn.XLOOKUP(C15,[1]Timesheet!B:B,[1]Timesheet!BS:BS,0))),0)</f>
        <v>0</v>
      </c>
      <c r="AC15" s="99">
        <f t="shared" si="8"/>
        <v>0</v>
      </c>
      <c r="AD15" s="99">
        <f>IF(_xlfn.XLOOKUP(Salary!C15,[1]Bus!B:B,[1]Bus!G:G,"",,-1)=1,0,ROUND((R15/$J$3)*ROUND(Y15+_xlfn.XLOOKUP(C15,[1]Timesheet!B:B,[1]Timesheet!BS:BS,0,,-1),0),0))</f>
        <v>0</v>
      </c>
      <c r="AE15" s="99">
        <f t="shared" si="9"/>
        <v>0</v>
      </c>
      <c r="AF15" s="99">
        <f>ROUND(IF(Y15&gt;=8,T15,(T15/$J$3)*(Y15+_xlfn.XLOOKUP(C15,[1]Timesheet!B:B,[1]Timesheet!BS:BS,0))),0)</f>
        <v>0</v>
      </c>
      <c r="AG15" s="99">
        <f>ROUND(IF(Y15&gt;=8,U15,(U15/$J$3)*(Y15+_xlfn.XLOOKUP(C15,[1]Timesheet!B:B,[1]Timesheet!BS:BS,0))),0)</f>
        <v>0</v>
      </c>
      <c r="AH15" s="99">
        <f>ROUND(IF(OR(CR15&gt;0,Y15&lt;8),(V15/$J$3)*(Y15+_xlfn.XLOOKUP(C15,[1]Timesheet!B:B,[1]Timesheet!BS:BS,0)),V15),0)</f>
        <v>0</v>
      </c>
      <c r="AI15" s="99">
        <f t="shared" si="10"/>
        <v>0</v>
      </c>
      <c r="AJ15" s="99">
        <f>IF(Y15&gt;0,ROUND(IF(LEN(CR15)&gt;2,(X15/$J$3)*(Y15+_xlfn.XLOOKUP(C15,[1]Timesheet!B:B,[1]Timesheet!BS:BS,0)),X15),0),0)</f>
        <v>0</v>
      </c>
      <c r="AK15" s="98">
        <f>_xlfn.XLOOKUP(C15,[1]Overtime!$B$7:$B$557,[1]Overtime!$AN$7:$AN$557,0)</f>
        <v>0</v>
      </c>
      <c r="AL15" s="99">
        <f>ROUND(((SUM(N15:P15)+SUM(T15:X15))/($J$3*8))*_xlfn.XLOOKUP(C15,[1]Overtime!$B$9:$B$557,[1]Overtime!$AU$9:$AU$557,0),0)</f>
        <v>0</v>
      </c>
      <c r="AM15" s="99">
        <f>ROUND(((SUM(N15:P15)+SUM(T15:X15))/($J$3*8))*_xlfn.XLOOKUP(C15,[1]Overtime!$B$9:$B$557,[1]Overtime!$AY$9:$AY$557,0),0)</f>
        <v>0</v>
      </c>
      <c r="AN15" s="99">
        <f t="shared" si="11"/>
        <v>0</v>
      </c>
      <c r="AO15" s="99"/>
      <c r="AP15" s="99"/>
      <c r="AQ15" s="99"/>
      <c r="AR15" s="99">
        <f>ROUND(_xlfn.XLOOKUP(C15,[1]Timesheet!$B$9:$B$458,[1]Timesheet!$BQ$9:$BQ$458,,,-1)*SUM(Salary!N15:P15,Salary!T15:X15)*20%/Salary!$J$3,0)</f>
        <v>0</v>
      </c>
      <c r="AS15" s="99">
        <v>20000</v>
      </c>
      <c r="AT15" s="99">
        <v>0</v>
      </c>
      <c r="AU15" s="99"/>
      <c r="AV15" s="99">
        <f>IF(CV15="x",IF(IF(CR15&gt;0,$CW$3-_xlfn.XLOOKUP(C15,[1]Timesheet!B:B,[1]Timesheet!BW:BW,0,,-1),$CW$3-_xlfn.XLOOKUP(C15,[1]Timesheet!B:B,[1]Timesheet!BW:BW,0,,-1)-$EB$3)&lt;14,ROUND(L15*20.5%+M15*1%,0),0),0)</f>
        <v>0</v>
      </c>
      <c r="AW15" s="99">
        <f t="shared" si="12"/>
        <v>0</v>
      </c>
      <c r="AX15" s="99">
        <f t="shared" si="13"/>
        <v>45433</v>
      </c>
      <c r="AY15" s="99"/>
      <c r="AZ15" s="99">
        <v>0</v>
      </c>
      <c r="BA15" s="99"/>
      <c r="BB15" s="99"/>
      <c r="BC15" s="99"/>
      <c r="BD15" s="99"/>
      <c r="BE15" s="99">
        <f t="shared" si="14"/>
        <v>65433</v>
      </c>
      <c r="BF15" s="99">
        <f t="shared" si="55"/>
        <v>0</v>
      </c>
      <c r="BG15" s="97">
        <v>0</v>
      </c>
      <c r="BH15" s="99"/>
      <c r="BI15" s="99"/>
      <c r="BJ15" s="99">
        <f t="shared" si="16"/>
        <v>0</v>
      </c>
      <c r="BK15" s="99">
        <f t="shared" si="17"/>
        <v>0</v>
      </c>
      <c r="BL15" s="99">
        <f t="shared" si="18"/>
        <v>65433</v>
      </c>
      <c r="BM15" s="99">
        <f t="shared" si="19"/>
        <v>65433</v>
      </c>
      <c r="BN15" s="99">
        <f t="shared" si="20"/>
        <v>0</v>
      </c>
      <c r="BO15" s="99">
        <f t="shared" si="21"/>
        <v>0</v>
      </c>
      <c r="BP15" s="99">
        <f t="shared" si="22"/>
        <v>0</v>
      </c>
      <c r="BQ15" s="99">
        <f t="shared" si="23"/>
        <v>0</v>
      </c>
      <c r="BR15" s="99">
        <f t="shared" si="24"/>
        <v>0</v>
      </c>
      <c r="BS15" s="99">
        <f t="shared" si="25"/>
        <v>0</v>
      </c>
      <c r="BT15" s="99"/>
      <c r="BU15" s="99"/>
      <c r="BV15" s="99"/>
      <c r="BW15" s="99">
        <v>0</v>
      </c>
      <c r="BX15" s="99"/>
      <c r="BY15" s="99"/>
      <c r="BZ15" s="99"/>
      <c r="CA15" s="99"/>
      <c r="CB15" s="99"/>
      <c r="CC15" s="99"/>
      <c r="CD15" s="99"/>
      <c r="CE15" s="99"/>
      <c r="CF15" s="99"/>
      <c r="CG15" s="99">
        <f t="shared" si="26"/>
        <v>65433</v>
      </c>
      <c r="CH15" s="99">
        <f t="shared" si="27"/>
        <v>65433</v>
      </c>
      <c r="CI15" s="99">
        <f t="shared" si="28"/>
        <v>0</v>
      </c>
      <c r="CJ15" s="100"/>
      <c r="CK15" s="101">
        <f t="shared" si="29"/>
        <v>0</v>
      </c>
      <c r="CL15" s="102">
        <v>1.5</v>
      </c>
      <c r="CM15" s="96">
        <f t="shared" si="30"/>
        <v>45433</v>
      </c>
      <c r="CN15" s="101"/>
      <c r="CO15" s="101">
        <f t="shared" si="31"/>
        <v>45433</v>
      </c>
      <c r="CP15" s="103">
        <v>46182</v>
      </c>
      <c r="CQ15" s="103">
        <v>46212</v>
      </c>
      <c r="CR15" s="104">
        <v>46202</v>
      </c>
      <c r="CS15" s="103">
        <v>0</v>
      </c>
      <c r="CT15" s="103">
        <v>0</v>
      </c>
      <c r="CU15" s="101"/>
      <c r="CV15" s="103" t="s">
        <v>226</v>
      </c>
      <c r="CW15" s="103" t="s">
        <v>226</v>
      </c>
      <c r="CX15" s="105"/>
      <c r="CY15" s="105"/>
      <c r="CZ15" s="105"/>
      <c r="DA15" s="99"/>
      <c r="DB15" s="106"/>
      <c r="DC15" s="106">
        <f>_xlfn.XLOOKUP(C15,[1]Overtime!$B$8:$B$2327,[1]Overtime!$BA$8:$BA$2327,"",,-1)</f>
        <v>0</v>
      </c>
      <c r="DD15" s="106">
        <f>_xlfn.XLOOKUP(C15,[1]Timesheet!$B$9:$B$2328,[1]Timesheet!$BS$9:$BS$2328,0,,-1)</f>
        <v>0</v>
      </c>
      <c r="DE15" s="106">
        <f>_xlfn.XLOOKUP(C15,[1]Timesheet!$B$7:$B$616,[1]Timesheet!$BK$7:$BK$616,0)+_xlfn.XLOOKUP(C15,[1]Timesheet!$B$7:$B$616,[1]Timesheet!$AV$7:$AV$616,0)-_xlfn.XLOOKUP(C15,[1]Timesheet!$B$7:$B$616,[1]Timesheet!$AX$7:$AX$616,0)+_xlfn.XLOOKUP(C15,[1]Timesheet!$B$7:$B$616,[1]Timesheet!$AW$7:$AW$616,0)-_xlfn.XLOOKUP(C15,[1]Timesheet!$B$7:$B$616,[1]Timesheet!$AY$7:$AY$616,0)</f>
        <v>0</v>
      </c>
      <c r="DF15" s="106">
        <f t="shared" si="32"/>
        <v>0</v>
      </c>
      <c r="DG15" s="106">
        <f>_xlfn.XLOOKUP(C15,[1]Timesheet!$B$7:$B$616,[1]Timesheet!$BV$7:$BV$616,0)+_xlfn.XLOOKUP(C15,[1]Timesheet!$B$7:$B$616,[1]Timesheet!$AX$7:$AX$616,0)++_xlfn.XLOOKUP(C15,[1]Timesheet!$B$7:$B$616,[1]Timesheet!$AY$7:$AY$616,0)</f>
        <v>2</v>
      </c>
      <c r="DH15" s="106">
        <f t="shared" si="33"/>
        <v>-500000</v>
      </c>
      <c r="DI15" s="106">
        <f>_xlfn.XLOOKUP(C15,[1]Timesheet!$B$7:$B$616,[1]Timesheet!$AZ$7:$AZ$616,0)+_xlfn.XLOOKUP(C15,[1]Timesheet!$B$7:$B$616,[1]Timesheet!$BA$7:$BA$616,0)</f>
        <v>0</v>
      </c>
      <c r="DJ15" s="106">
        <f>IF(CW15="x",IF((ROUND(Y15*W15/$J$3,0))&lt;0,0,ROUND(Y15*W15/$J$3,0)),IF(OR(CR15&gt;0,CS15&gt;0,CT15&gt;0),W15/$J$3*(Y15+_xlfn.XLOOKUP(C15,[1]Timesheet!B:B,[1]Timesheet!BS:BS,0,,-1)+_xlfn.XLOOKUP(C15,[1]Timesheet!B:B,[1]Timesheet!BU:BU,0,,-1)),IF(OR(DH15&lt;0,DF15&lt;0),IF(DI15&gt;0,W15/$J$3*($J$3-DI15),W15),W15/$J$3*(Y15+_xlfn.XLOOKUP(C15,[1]Timesheet!B:B,[1]Timesheet!BS:BS,0,,-1)+_xlfn.XLOOKUP(C15,[1]Timesheet!B:B,[1]Timesheet!BU:BU,0,,-1)))))</f>
        <v>0</v>
      </c>
      <c r="DK15" s="106">
        <f t="shared" si="34"/>
        <v>-500000</v>
      </c>
      <c r="DL15" s="106">
        <f>_xlfn.XLOOKUP(C15,[1]Timesheet!$B$7:$B$565,[1]Timesheet!$BB$7:$BB$565,0)</f>
        <v>0</v>
      </c>
      <c r="DM15" s="106">
        <f>_xlfn.XLOOKUP(C15,[1]Timesheet!$B$7:$B$565,[1]Timesheet!$BC$7:$BC$565,0)</f>
        <v>0</v>
      </c>
      <c r="DN15" s="106">
        <f>_xlfn.XLOOKUP(C15,[1]Timesheet!$B$7:$B$565,[1]Timesheet!$BF$7:$BF$565,0)</f>
        <v>0</v>
      </c>
      <c r="DO15" s="106">
        <f>_xlfn.XLOOKUP(C15,[1]Timesheet!$B$7:$B$565,[1]Timesheet!$BJ$7:$BJ$565,0)</f>
        <v>0</v>
      </c>
      <c r="DP15" s="106">
        <f t="shared" si="35"/>
        <v>0</v>
      </c>
      <c r="DQ15" s="106">
        <f>_xlfn.XLOOKUP(C15,[1]Timesheet!$B$7:$B$565,[1]Timesheet!$BT$7:$BT$565,0)</f>
        <v>21</v>
      </c>
      <c r="DR15" s="106">
        <f>_xlfn.XLOOKUP(C15,[1]Timesheet!$B$7:$B$565,[1]Timesheet!$BM$7:$BM$565,0)</f>
        <v>0</v>
      </c>
      <c r="DS15" s="106">
        <f t="shared" si="36"/>
        <v>0</v>
      </c>
      <c r="DT15" s="106">
        <f t="shared" si="37"/>
        <v>0</v>
      </c>
      <c r="DU15" s="106">
        <f t="shared" si="38"/>
        <v>0</v>
      </c>
      <c r="DV15" s="106">
        <f t="shared" si="39"/>
        <v>0</v>
      </c>
      <c r="DW15" s="106">
        <f t="shared" si="40"/>
        <v>0</v>
      </c>
      <c r="DX15" s="106">
        <f t="shared" si="41"/>
        <v>6600000</v>
      </c>
      <c r="DY15" s="106">
        <f t="shared" si="42"/>
        <v>400000</v>
      </c>
      <c r="DZ15" s="106">
        <f t="shared" si="43"/>
        <v>1000000</v>
      </c>
      <c r="EA15" s="106">
        <f>_xlfn.XLOOKUP(C15,[1]Timesheet!$B$7:$B$565,[1]Timesheet!$BI$7:$BI$565,0)</f>
        <v>2</v>
      </c>
      <c r="EB15" s="106">
        <f t="shared" si="44"/>
        <v>0</v>
      </c>
      <c r="EC15" s="106">
        <f t="shared" si="45"/>
        <v>0</v>
      </c>
      <c r="ED15" s="106">
        <f t="shared" si="46"/>
        <v>0</v>
      </c>
      <c r="EE15" s="106">
        <f t="shared" si="47"/>
        <v>0</v>
      </c>
      <c r="EF15" s="99">
        <f>ROUND((SUM(N15:P15)+W15+X15+T15+U15+V15)/($J$3*8)*_xlfn.XLOOKUP(C15,[1]Overtime!$B$9:$B$557,[1]Overtime!$AU$9:$AU$557,0),0)</f>
        <v>0</v>
      </c>
      <c r="EG15" s="99">
        <f>ROUND(((SUM(N15:P15)+W15+X15+T15+U15+V15)/($J$3*8))*_xlfn.XLOOKUP(C15,[1]Overtime!$B$9:$B$557,[1]Overtime!$AY$9:$AY$557,0),0)</f>
        <v>0</v>
      </c>
      <c r="EH15" s="99">
        <f t="shared" si="48"/>
        <v>0</v>
      </c>
      <c r="EI15" s="99">
        <f t="shared" si="49"/>
        <v>0</v>
      </c>
      <c r="EJ15" s="99">
        <f t="shared" si="49"/>
        <v>0</v>
      </c>
      <c r="EK15" s="99">
        <f>ROUND((SUM(N15:P15)+W15+X15+T15+U15+V15)/($J$3*8)*_xlfn.XLOOKUP(C15,[1]Overtime!$B$9:$B$557,[1]Overtime!$AO$9:$AO$557,0)*1.5,0)</f>
        <v>0</v>
      </c>
      <c r="EL15" s="99">
        <f>ROUND((SUM(N15:P15)+W15+X15+T15+U15+V15)/($J$3*8)*_xlfn.XLOOKUP(C15,[1]Overtime!$B$9:$B$557,[1]Overtime!$AP$9:$AP$557,0)*2,0)</f>
        <v>0</v>
      </c>
      <c r="EM15" s="99">
        <f t="shared" si="50"/>
        <v>0</v>
      </c>
      <c r="EN15" s="99">
        <f t="shared" si="51"/>
        <v>0</v>
      </c>
      <c r="EO15" s="99">
        <f t="shared" si="52"/>
        <v>0</v>
      </c>
      <c r="EP15" s="99">
        <f t="shared" si="53"/>
        <v>0</v>
      </c>
      <c r="EQ15" s="87">
        <v>0</v>
      </c>
      <c r="ER15" s="87">
        <f t="shared" si="54"/>
        <v>0</v>
      </c>
      <c r="ET15" s="87"/>
      <c r="EU15" s="88"/>
      <c r="EV15" s="87"/>
    </row>
    <row r="16" spans="1:152" s="107" customFormat="1" ht="27.75" customHeight="1" x14ac:dyDescent="0.25">
      <c r="A16" s="89"/>
      <c r="B16" s="90">
        <f t="shared" si="56"/>
        <v>7</v>
      </c>
      <c r="C16" s="91" t="s">
        <v>235</v>
      </c>
      <c r="D16" s="92" t="s">
        <v>236</v>
      </c>
      <c r="E16" s="92" t="str">
        <f t="shared" si="3"/>
        <v>Probation</v>
      </c>
      <c r="F16" s="93">
        <f t="shared" si="4"/>
        <v>0</v>
      </c>
      <c r="G16" s="92" t="s">
        <v>219</v>
      </c>
      <c r="H16" s="91" t="s">
        <v>220</v>
      </c>
      <c r="I16" s="94" t="s">
        <v>221</v>
      </c>
      <c r="J16" s="95" t="s">
        <v>219</v>
      </c>
      <c r="K16" s="95" t="s">
        <v>222</v>
      </c>
      <c r="L16" s="96">
        <f t="shared" si="5"/>
        <v>6500000</v>
      </c>
      <c r="M16" s="97">
        <f t="shared" si="6"/>
        <v>6500000</v>
      </c>
      <c r="N16" s="97">
        <v>5200000</v>
      </c>
      <c r="O16" s="97">
        <v>300000</v>
      </c>
      <c r="P16" s="97">
        <v>0</v>
      </c>
      <c r="Q16" s="97">
        <v>0</v>
      </c>
      <c r="R16" s="97">
        <v>300000</v>
      </c>
      <c r="S16" s="97">
        <v>0</v>
      </c>
      <c r="T16" s="97">
        <v>0</v>
      </c>
      <c r="U16" s="97">
        <v>0</v>
      </c>
      <c r="V16" s="97">
        <v>0</v>
      </c>
      <c r="W16" s="97">
        <v>1000000</v>
      </c>
      <c r="X16" s="97">
        <v>0</v>
      </c>
      <c r="Y16" s="98">
        <f>_xlfn.XLOOKUP(C16,[1]Timesheet!$B$9:$B$25,[1]Timesheet!$AO$9:$AO$25,0,,1)</f>
        <v>7</v>
      </c>
      <c r="Z16" s="99">
        <f t="shared" si="7"/>
        <v>1400000</v>
      </c>
      <c r="AA16" s="99">
        <f>ROUND(O16/$J$3*(Y16+_xlfn.XLOOKUP(C16,[1]Timesheet!B:B,[1]Timesheet!BS:BS,0)),0)</f>
        <v>80769</v>
      </c>
      <c r="AB16" s="99">
        <f>ROUND(IF(Y16&gt;=8,P16,(P16/$J$3)*(Y16+_xlfn.XLOOKUP(C16,[1]Timesheet!B:B,[1]Timesheet!BS:BS,0))),0)</f>
        <v>0</v>
      </c>
      <c r="AC16" s="99">
        <f t="shared" si="8"/>
        <v>0</v>
      </c>
      <c r="AD16" s="99">
        <f>IF(_xlfn.XLOOKUP(Salary!C16,[1]Bus!B:B,[1]Bus!G:G,"",,-1)=1,0,ROUND((R16/$J$3)*ROUND(Y16+_xlfn.XLOOKUP(C16,[1]Timesheet!B:B,[1]Timesheet!BS:BS,0,,-1),0),0))</f>
        <v>80769</v>
      </c>
      <c r="AE16" s="99">
        <f t="shared" si="9"/>
        <v>0</v>
      </c>
      <c r="AF16" s="99">
        <f>ROUND(IF(Y16&gt;=8,T16,(T16/$J$3)*(Y16+_xlfn.XLOOKUP(C16,[1]Timesheet!B:B,[1]Timesheet!BS:BS,0))),0)</f>
        <v>0</v>
      </c>
      <c r="AG16" s="99">
        <f>ROUND(IF(Y16&gt;=8,U16,(U16/$J$3)*(Y16+_xlfn.XLOOKUP(C16,[1]Timesheet!B:B,[1]Timesheet!BS:BS,0))),0)</f>
        <v>0</v>
      </c>
      <c r="AH16" s="99">
        <f>ROUND(IF(OR(CR16&gt;0,Y16&lt;8),(V16/$J$3)*(Y16+_xlfn.XLOOKUP(C16,[1]Timesheet!B:B,[1]Timesheet!BS:BS,0)),V16),0)</f>
        <v>0</v>
      </c>
      <c r="AI16" s="99">
        <f t="shared" si="10"/>
        <v>0</v>
      </c>
      <c r="AJ16" s="99">
        <f>IF(Y16&gt;0,ROUND(IF(LEN(CR16)&gt;2,(X16/$J$3)*(Y16+_xlfn.XLOOKUP(C16,[1]Timesheet!B:B,[1]Timesheet!BS:BS,0)),X16),0),0)</f>
        <v>0</v>
      </c>
      <c r="AK16" s="98">
        <f>_xlfn.XLOOKUP(C16,[1]Overtime!$B$7:$B$557,[1]Overtime!$AN$7:$AN$557,0)</f>
        <v>9</v>
      </c>
      <c r="AL16" s="99">
        <f>ROUND(((SUM(N16:P16)+SUM(T16:X16))/($J$3*8))*_xlfn.XLOOKUP(C16,[1]Overtime!$B$9:$B$557,[1]Overtime!$AU$9:$AU$557,0),0)</f>
        <v>281250</v>
      </c>
      <c r="AM16" s="99">
        <f>ROUND(((SUM(N16:P16)+SUM(T16:X16))/($J$3*8))*_xlfn.XLOOKUP(C16,[1]Overtime!$B$9:$B$557,[1]Overtime!$AY$9:$AY$557,0),0)</f>
        <v>140625</v>
      </c>
      <c r="AN16" s="99">
        <f t="shared" si="11"/>
        <v>421875</v>
      </c>
      <c r="AO16" s="99"/>
      <c r="AP16" s="99"/>
      <c r="AQ16" s="99"/>
      <c r="AR16" s="99">
        <f>ROUND(_xlfn.XLOOKUP(C16,[1]Timesheet!$B$9:$B$458,[1]Timesheet!$BQ$9:$BQ$458,,,-1)*SUM(Salary!N16:P16,Salary!T16:X16)*20%/Salary!$J$3,0)</f>
        <v>0</v>
      </c>
      <c r="AS16" s="99">
        <v>0</v>
      </c>
      <c r="AT16" s="99">
        <v>0</v>
      </c>
      <c r="AU16" s="99"/>
      <c r="AV16" s="99">
        <f>IF(CV16="x",IF(IF(CR16&gt;0,$CW$3-_xlfn.XLOOKUP(C16,[1]Timesheet!B:B,[1]Timesheet!BW:BW,0,,-1),$CW$3-_xlfn.XLOOKUP(C16,[1]Timesheet!B:B,[1]Timesheet!BW:BW,0,,-1)-$EB$3)&lt;14,ROUND(L16*20.5%+M16*1%,0),0),0)</f>
        <v>0</v>
      </c>
      <c r="AW16" s="99">
        <f t="shared" si="12"/>
        <v>0</v>
      </c>
      <c r="AX16" s="99">
        <f t="shared" si="13"/>
        <v>0</v>
      </c>
      <c r="AY16" s="99"/>
      <c r="AZ16" s="99">
        <v>0</v>
      </c>
      <c r="BA16" s="99"/>
      <c r="BB16" s="99"/>
      <c r="BC16" s="99"/>
      <c r="BD16" s="99"/>
      <c r="BE16" s="99">
        <f t="shared" si="14"/>
        <v>1983413</v>
      </c>
      <c r="BF16" s="99">
        <f t="shared" si="55"/>
        <v>0</v>
      </c>
      <c r="BG16" s="97">
        <v>0</v>
      </c>
      <c r="BH16" s="99"/>
      <c r="BI16" s="99"/>
      <c r="BJ16" s="99">
        <f t="shared" si="16"/>
        <v>0</v>
      </c>
      <c r="BK16" s="99">
        <f t="shared" si="17"/>
        <v>0</v>
      </c>
      <c r="BL16" s="99">
        <f t="shared" si="18"/>
        <v>1561538</v>
      </c>
      <c r="BM16" s="99">
        <f t="shared" si="19"/>
        <v>1561538</v>
      </c>
      <c r="BN16" s="99">
        <f t="shared" si="20"/>
        <v>0</v>
      </c>
      <c r="BO16" s="99">
        <f t="shared" si="21"/>
        <v>0</v>
      </c>
      <c r="BP16" s="99">
        <f t="shared" si="22"/>
        <v>0</v>
      </c>
      <c r="BQ16" s="99">
        <f t="shared" si="23"/>
        <v>0</v>
      </c>
      <c r="BR16" s="99">
        <f t="shared" si="24"/>
        <v>0</v>
      </c>
      <c r="BS16" s="99">
        <f t="shared" si="25"/>
        <v>0</v>
      </c>
      <c r="BT16" s="99"/>
      <c r="BU16" s="99"/>
      <c r="BV16" s="99"/>
      <c r="BW16" s="99">
        <v>0</v>
      </c>
      <c r="BX16" s="99"/>
      <c r="BY16" s="99"/>
      <c r="BZ16" s="99"/>
      <c r="CA16" s="99"/>
      <c r="CB16" s="99"/>
      <c r="CC16" s="99"/>
      <c r="CD16" s="99"/>
      <c r="CE16" s="99"/>
      <c r="CF16" s="99"/>
      <c r="CG16" s="99">
        <f t="shared" si="26"/>
        <v>1983413</v>
      </c>
      <c r="CH16" s="99">
        <f t="shared" si="27"/>
        <v>1983413</v>
      </c>
      <c r="CI16" s="99">
        <f t="shared" si="28"/>
        <v>0</v>
      </c>
      <c r="CJ16" s="100"/>
      <c r="CK16" s="101">
        <f t="shared" si="29"/>
        <v>0</v>
      </c>
      <c r="CL16" s="102"/>
      <c r="CM16" s="96">
        <f t="shared" si="30"/>
        <v>0</v>
      </c>
      <c r="CN16" s="101"/>
      <c r="CO16" s="101">
        <f t="shared" si="31"/>
        <v>0</v>
      </c>
      <c r="CP16" s="103">
        <v>46185</v>
      </c>
      <c r="CQ16" s="103">
        <v>46215</v>
      </c>
      <c r="CR16" s="104">
        <v>46207</v>
      </c>
      <c r="CS16" s="103">
        <v>0</v>
      </c>
      <c r="CT16" s="103">
        <v>0</v>
      </c>
      <c r="CU16" s="101"/>
      <c r="CV16" s="103" t="s">
        <v>226</v>
      </c>
      <c r="CW16" s="103" t="s">
        <v>226</v>
      </c>
      <c r="CX16" s="105"/>
      <c r="CY16" s="105"/>
      <c r="CZ16" s="105"/>
      <c r="DA16" s="99"/>
      <c r="DB16" s="106"/>
      <c r="DC16" s="106">
        <f>_xlfn.XLOOKUP(C16,[1]Overtime!$B$8:$B$2327,[1]Overtime!$BA$8:$BA$2327,"",,-1)</f>
        <v>0</v>
      </c>
      <c r="DD16" s="106">
        <f>_xlfn.XLOOKUP(C16,[1]Timesheet!$B$9:$B$2328,[1]Timesheet!$BS$9:$BS$2328,0,,-1)</f>
        <v>0</v>
      </c>
      <c r="DE16" s="106">
        <f>_xlfn.XLOOKUP(C16,[1]Timesheet!$B$7:$B$616,[1]Timesheet!$BK$7:$BK$616,0)+_xlfn.XLOOKUP(C16,[1]Timesheet!$B$7:$B$616,[1]Timesheet!$AV$7:$AV$616,0)-_xlfn.XLOOKUP(C16,[1]Timesheet!$B$7:$B$616,[1]Timesheet!$AX$7:$AX$616,0)+_xlfn.XLOOKUP(C16,[1]Timesheet!$B$7:$B$616,[1]Timesheet!$AW$7:$AW$616,0)-_xlfn.XLOOKUP(C16,[1]Timesheet!$B$7:$B$616,[1]Timesheet!$AY$7:$AY$616,0)</f>
        <v>0</v>
      </c>
      <c r="DF16" s="106">
        <f t="shared" si="32"/>
        <v>0</v>
      </c>
      <c r="DG16" s="106">
        <f>_xlfn.XLOOKUP(C16,[1]Timesheet!$B$7:$B$616,[1]Timesheet!$BV$7:$BV$616,0)+_xlfn.XLOOKUP(C16,[1]Timesheet!$B$7:$B$616,[1]Timesheet!$AX$7:$AX$616,0)++_xlfn.XLOOKUP(C16,[1]Timesheet!$B$7:$B$616,[1]Timesheet!$AY$7:$AY$616,0)</f>
        <v>0</v>
      </c>
      <c r="DH16" s="106">
        <f t="shared" si="33"/>
        <v>0</v>
      </c>
      <c r="DI16" s="106">
        <f>_xlfn.XLOOKUP(C16,[1]Timesheet!$B$7:$B$616,[1]Timesheet!$AZ$7:$AZ$616,0)+_xlfn.XLOOKUP(C16,[1]Timesheet!$B$7:$B$616,[1]Timesheet!$BA$7:$BA$616,0)</f>
        <v>0</v>
      </c>
      <c r="DJ16" s="106">
        <f>IF(CW16="x",IF((ROUND(Y16*W16/$J$3,0))&lt;0,0,ROUND(Y16*W16/$J$3,0)),IF(OR(CR16&gt;0,CS16&gt;0,CT16&gt;0),W16/$J$3*(Y16+_xlfn.XLOOKUP(C16,[1]Timesheet!B:B,[1]Timesheet!BS:BS,0,,-1)+_xlfn.XLOOKUP(C16,[1]Timesheet!B:B,[1]Timesheet!BU:BU,0,,-1)),IF(OR(DH16&lt;0,DF16&lt;0),IF(DI16&gt;0,W16/$J$3*($J$3-DI16),W16),W16/$J$3*(Y16+_xlfn.XLOOKUP(C16,[1]Timesheet!B:B,[1]Timesheet!BS:BS,0,,-1)+_xlfn.XLOOKUP(C16,[1]Timesheet!B:B,[1]Timesheet!BU:BU,0,,-1)))))</f>
        <v>269231</v>
      </c>
      <c r="DK16" s="106">
        <f t="shared" si="34"/>
        <v>0</v>
      </c>
      <c r="DL16" s="106">
        <f>_xlfn.XLOOKUP(C16,[1]Timesheet!$B$7:$B$565,[1]Timesheet!$BB$7:$BB$565,0)</f>
        <v>0</v>
      </c>
      <c r="DM16" s="106">
        <f>_xlfn.XLOOKUP(C16,[1]Timesheet!$B$7:$B$565,[1]Timesheet!$BC$7:$BC$565,0)</f>
        <v>0</v>
      </c>
      <c r="DN16" s="106">
        <f>_xlfn.XLOOKUP(C16,[1]Timesheet!$B$7:$B$565,[1]Timesheet!$BF$7:$BF$565,0)</f>
        <v>0</v>
      </c>
      <c r="DO16" s="106">
        <f>_xlfn.XLOOKUP(C16,[1]Timesheet!$B$7:$B$565,[1]Timesheet!$BJ$7:$BJ$565,0)</f>
        <v>0</v>
      </c>
      <c r="DP16" s="106">
        <f t="shared" si="35"/>
        <v>0</v>
      </c>
      <c r="DQ16" s="106">
        <f>_xlfn.XLOOKUP(C16,[1]Timesheet!$B$7:$B$565,[1]Timesheet!$BT$7:$BT$565,0)</f>
        <v>18</v>
      </c>
      <c r="DR16" s="106">
        <f>_xlfn.XLOOKUP(C16,[1]Timesheet!$B$7:$B$565,[1]Timesheet!$BM$7:$BM$565,0)</f>
        <v>0</v>
      </c>
      <c r="DS16" s="106">
        <f t="shared" si="36"/>
        <v>0</v>
      </c>
      <c r="DT16" s="106">
        <f t="shared" si="37"/>
        <v>0</v>
      </c>
      <c r="DU16" s="106">
        <f t="shared" si="38"/>
        <v>0</v>
      </c>
      <c r="DV16" s="106">
        <f t="shared" si="39"/>
        <v>0</v>
      </c>
      <c r="DW16" s="106">
        <f t="shared" si="40"/>
        <v>0</v>
      </c>
      <c r="DX16" s="106">
        <f t="shared" si="41"/>
        <v>6800000</v>
      </c>
      <c r="DY16" s="106">
        <f t="shared" si="42"/>
        <v>600000</v>
      </c>
      <c r="DZ16" s="106">
        <f t="shared" si="43"/>
        <v>1000000</v>
      </c>
      <c r="EA16" s="106">
        <f>_xlfn.XLOOKUP(C16,[1]Timesheet!$B$7:$B$565,[1]Timesheet!$BI$7:$BI$565,0)</f>
        <v>0</v>
      </c>
      <c r="EB16" s="106">
        <f t="shared" si="44"/>
        <v>0</v>
      </c>
      <c r="EC16" s="106">
        <f t="shared" si="45"/>
        <v>0</v>
      </c>
      <c r="ED16" s="106">
        <f t="shared" si="46"/>
        <v>0</v>
      </c>
      <c r="EE16" s="106">
        <f t="shared" si="47"/>
        <v>0</v>
      </c>
      <c r="EF16" s="99">
        <f>ROUND((SUM(N16:P16)+W16+X16+T16+U16+V16)/($J$3*8)*_xlfn.XLOOKUP(C16,[1]Overtime!$B$9:$B$557,[1]Overtime!$AU$9:$AU$557,0),0)</f>
        <v>281250</v>
      </c>
      <c r="EG16" s="99">
        <f>ROUND(((SUM(N16:P16)+W16+X16+T16+U16+V16)/($J$3*8))*_xlfn.XLOOKUP(C16,[1]Overtime!$B$9:$B$557,[1]Overtime!$AY$9:$AY$557,0),0)</f>
        <v>140625</v>
      </c>
      <c r="EH16" s="99">
        <f t="shared" si="48"/>
        <v>421875</v>
      </c>
      <c r="EI16" s="99">
        <f t="shared" si="49"/>
        <v>0</v>
      </c>
      <c r="EJ16" s="99">
        <f t="shared" si="49"/>
        <v>0</v>
      </c>
      <c r="EK16" s="99">
        <f>ROUND((SUM(N16:P16)+W16+X16+T16+U16+V16)/($J$3*8)*_xlfn.XLOOKUP(C16,[1]Overtime!$B$9:$B$557,[1]Overtime!$AO$9:$AO$557,0)*1.5,0)</f>
        <v>421875</v>
      </c>
      <c r="EL16" s="99">
        <f>ROUND((SUM(N16:P16)+W16+X16+T16+U16+V16)/($J$3*8)*_xlfn.XLOOKUP(C16,[1]Overtime!$B$9:$B$557,[1]Overtime!$AP$9:$AP$557,0)*2,0)</f>
        <v>0</v>
      </c>
      <c r="EM16" s="99">
        <f t="shared" si="50"/>
        <v>0</v>
      </c>
      <c r="EN16" s="99">
        <f t="shared" si="51"/>
        <v>269231</v>
      </c>
      <c r="EO16" s="99">
        <f t="shared" si="52"/>
        <v>0</v>
      </c>
      <c r="EP16" s="99">
        <f t="shared" si="53"/>
        <v>0</v>
      </c>
      <c r="EQ16" s="87">
        <v>0</v>
      </c>
      <c r="ER16" s="87">
        <f t="shared" si="54"/>
        <v>0</v>
      </c>
      <c r="ET16" s="87"/>
      <c r="EU16" s="88"/>
      <c r="EV16" s="87"/>
    </row>
    <row r="17" spans="1:152" s="107" customFormat="1" ht="27.75" customHeight="1" x14ac:dyDescent="0.25">
      <c r="A17" s="89"/>
      <c r="B17" s="90">
        <f t="shared" si="56"/>
        <v>8</v>
      </c>
      <c r="C17" s="91" t="s">
        <v>237</v>
      </c>
      <c r="D17" s="92" t="s">
        <v>238</v>
      </c>
      <c r="E17" s="92" t="str">
        <f t="shared" si="3"/>
        <v>Probation</v>
      </c>
      <c r="F17" s="93">
        <f t="shared" si="4"/>
        <v>0</v>
      </c>
      <c r="G17" s="92" t="s">
        <v>213</v>
      </c>
      <c r="H17" s="91" t="s">
        <v>214</v>
      </c>
      <c r="I17" s="94" t="s">
        <v>239</v>
      </c>
      <c r="J17" s="95" t="s">
        <v>213</v>
      </c>
      <c r="K17" s="95" t="s">
        <v>216</v>
      </c>
      <c r="L17" s="96">
        <f t="shared" si="5"/>
        <v>6500000</v>
      </c>
      <c r="M17" s="97">
        <f t="shared" si="6"/>
        <v>6500000</v>
      </c>
      <c r="N17" s="97">
        <v>5200000</v>
      </c>
      <c r="O17" s="97">
        <v>300000</v>
      </c>
      <c r="P17" s="97">
        <v>0</v>
      </c>
      <c r="Q17" s="97">
        <v>0</v>
      </c>
      <c r="R17" s="97">
        <v>300000</v>
      </c>
      <c r="S17" s="97">
        <v>0</v>
      </c>
      <c r="T17" s="97">
        <v>0</v>
      </c>
      <c r="U17" s="97">
        <v>0</v>
      </c>
      <c r="V17" s="97">
        <v>0</v>
      </c>
      <c r="W17" s="97">
        <v>1000000</v>
      </c>
      <c r="X17" s="97">
        <v>0</v>
      </c>
      <c r="Y17" s="98">
        <f>_xlfn.XLOOKUP(C17,[1]Timesheet!$B$9:$B$25,[1]Timesheet!$AO$9:$AO$25,0,,1)</f>
        <v>0</v>
      </c>
      <c r="Z17" s="99">
        <f t="shared" si="7"/>
        <v>0</v>
      </c>
      <c r="AA17" s="99">
        <f>ROUND(O17/$J$3*(Y17+_xlfn.XLOOKUP(C17,[1]Timesheet!B:B,[1]Timesheet!BS:BS,0)),0)</f>
        <v>0</v>
      </c>
      <c r="AB17" s="99">
        <f>ROUND(IF(Y17&gt;=8,P17,(P17/$J$3)*(Y17+_xlfn.XLOOKUP(C17,[1]Timesheet!B:B,[1]Timesheet!BS:BS,0))),0)</f>
        <v>0</v>
      </c>
      <c r="AC17" s="99">
        <f t="shared" si="8"/>
        <v>0</v>
      </c>
      <c r="AD17" s="99">
        <f>IF(_xlfn.XLOOKUP(Salary!C17,[1]Bus!B:B,[1]Bus!G:G,"",,-1)=1,0,ROUND((R17/$J$3)*ROUND(Y17+_xlfn.XLOOKUP(C17,[1]Timesheet!B:B,[1]Timesheet!BS:BS,0,,-1),0),0))</f>
        <v>0</v>
      </c>
      <c r="AE17" s="99">
        <f t="shared" si="9"/>
        <v>0</v>
      </c>
      <c r="AF17" s="99">
        <f>ROUND(IF(Y17&gt;=8,T17,(T17/$J$3)*(Y17+_xlfn.XLOOKUP(C17,[1]Timesheet!B:B,[1]Timesheet!BS:BS,0))),0)</f>
        <v>0</v>
      </c>
      <c r="AG17" s="99">
        <f>ROUND(IF(Y17&gt;=8,U17,(U17/$J$3)*(Y17+_xlfn.XLOOKUP(C17,[1]Timesheet!B:B,[1]Timesheet!BS:BS,0))),0)</f>
        <v>0</v>
      </c>
      <c r="AH17" s="99">
        <f>ROUND(IF(OR(CR17&gt;0,Y17&lt;8),(V17/$J$3)*(Y17+_xlfn.XLOOKUP(C17,[1]Timesheet!B:B,[1]Timesheet!BS:BS,0)),V17),0)</f>
        <v>0</v>
      </c>
      <c r="AI17" s="99">
        <f t="shared" si="10"/>
        <v>0</v>
      </c>
      <c r="AJ17" s="99">
        <f>IF(Y17&gt;0,ROUND(IF(LEN(CR17)&gt;2,(X17/$J$3)*(Y17+_xlfn.XLOOKUP(C17,[1]Timesheet!B:B,[1]Timesheet!BS:BS,0)),X17),0),0)</f>
        <v>0</v>
      </c>
      <c r="AK17" s="98">
        <f>_xlfn.XLOOKUP(C17,[1]Overtime!$B$7:$B$557,[1]Overtime!$AN$7:$AN$557,0)</f>
        <v>0</v>
      </c>
      <c r="AL17" s="99">
        <f>ROUND(((SUM(N17:P17)+SUM(T17:X17))/($J$3*8))*_xlfn.XLOOKUP(C17,[1]Overtime!$B$9:$B$557,[1]Overtime!$AU$9:$AU$557,0),0)</f>
        <v>0</v>
      </c>
      <c r="AM17" s="99">
        <f>ROUND(((SUM(N17:P17)+SUM(T17:X17))/($J$3*8))*_xlfn.XLOOKUP(C17,[1]Overtime!$B$9:$B$557,[1]Overtime!$AY$9:$AY$557,0),0)</f>
        <v>0</v>
      </c>
      <c r="AN17" s="99">
        <f t="shared" si="11"/>
        <v>0</v>
      </c>
      <c r="AO17" s="99"/>
      <c r="AP17" s="99"/>
      <c r="AQ17" s="99"/>
      <c r="AR17" s="99">
        <f>ROUND(_xlfn.XLOOKUP(C17,[1]Timesheet!$B$9:$B$458,[1]Timesheet!$BQ$9:$BQ$458,,,-1)*SUM(Salary!N17:P17,Salary!T17:X17)*20%/Salary!$J$3,0)</f>
        <v>0</v>
      </c>
      <c r="AS17" s="99">
        <v>0</v>
      </c>
      <c r="AT17" s="99">
        <v>0</v>
      </c>
      <c r="AU17" s="99"/>
      <c r="AV17" s="99">
        <f>IF(CV17="x",IF(IF(CR17&gt;0,$CW$3-_xlfn.XLOOKUP(C17,[1]Timesheet!B:B,[1]Timesheet!BW:BW,0,,-1),$CW$3-_xlfn.XLOOKUP(C17,[1]Timesheet!B:B,[1]Timesheet!BW:BW,0,,-1)-$EB$3)&lt;14,ROUND(L17*20.5%+M17*1%,0),0),0)</f>
        <v>0</v>
      </c>
      <c r="AW17" s="99">
        <f t="shared" si="12"/>
        <v>0</v>
      </c>
      <c r="AX17" s="99">
        <f t="shared" si="13"/>
        <v>0</v>
      </c>
      <c r="AY17" s="99"/>
      <c r="AZ17" s="99">
        <v>0</v>
      </c>
      <c r="BA17" s="99"/>
      <c r="BB17" s="99"/>
      <c r="BC17" s="99"/>
      <c r="BD17" s="99"/>
      <c r="BE17" s="99">
        <f t="shared" si="14"/>
        <v>0</v>
      </c>
      <c r="BF17" s="99">
        <f t="shared" si="55"/>
        <v>0</v>
      </c>
      <c r="BG17" s="97">
        <v>0</v>
      </c>
      <c r="BH17" s="99"/>
      <c r="BI17" s="99"/>
      <c r="BJ17" s="99">
        <f t="shared" si="16"/>
        <v>0</v>
      </c>
      <c r="BK17" s="99">
        <f t="shared" si="17"/>
        <v>0</v>
      </c>
      <c r="BL17" s="99">
        <f t="shared" si="18"/>
        <v>0</v>
      </c>
      <c r="BM17" s="99">
        <f t="shared" si="19"/>
        <v>0</v>
      </c>
      <c r="BN17" s="99">
        <f t="shared" si="20"/>
        <v>0</v>
      </c>
      <c r="BO17" s="99">
        <f t="shared" si="21"/>
        <v>0</v>
      </c>
      <c r="BP17" s="99">
        <f t="shared" si="22"/>
        <v>0</v>
      </c>
      <c r="BQ17" s="99">
        <f t="shared" si="23"/>
        <v>0</v>
      </c>
      <c r="BR17" s="99">
        <f t="shared" si="24"/>
        <v>0</v>
      </c>
      <c r="BS17" s="99">
        <f t="shared" si="25"/>
        <v>0</v>
      </c>
      <c r="BT17" s="99"/>
      <c r="BU17" s="99"/>
      <c r="BV17" s="99"/>
      <c r="BW17" s="99">
        <v>0</v>
      </c>
      <c r="BX17" s="99"/>
      <c r="BY17" s="99"/>
      <c r="BZ17" s="99"/>
      <c r="CA17" s="99"/>
      <c r="CB17" s="99"/>
      <c r="CC17" s="99"/>
      <c r="CD17" s="99"/>
      <c r="CE17" s="99"/>
      <c r="CF17" s="99"/>
      <c r="CG17" s="99">
        <f t="shared" si="26"/>
        <v>0</v>
      </c>
      <c r="CH17" s="99">
        <f t="shared" si="27"/>
        <v>0</v>
      </c>
      <c r="CI17" s="99">
        <f t="shared" si="28"/>
        <v>0</v>
      </c>
      <c r="CJ17" s="100"/>
      <c r="CK17" s="101">
        <f t="shared" si="29"/>
        <v>0</v>
      </c>
      <c r="CL17" s="102"/>
      <c r="CM17" s="96">
        <f t="shared" si="30"/>
        <v>0</v>
      </c>
      <c r="CN17" s="101"/>
      <c r="CO17" s="101">
        <f t="shared" si="31"/>
        <v>0</v>
      </c>
      <c r="CP17" s="103">
        <v>46189</v>
      </c>
      <c r="CQ17" s="103">
        <v>46219</v>
      </c>
      <c r="CR17" s="104">
        <v>46202</v>
      </c>
      <c r="CS17" s="103">
        <v>0</v>
      </c>
      <c r="CT17" s="103">
        <v>0</v>
      </c>
      <c r="CU17" s="101"/>
      <c r="CV17" s="103" t="s">
        <v>226</v>
      </c>
      <c r="CW17" s="103" t="s">
        <v>226</v>
      </c>
      <c r="CX17" s="105"/>
      <c r="CY17" s="105"/>
      <c r="CZ17" s="105"/>
      <c r="DA17" s="99"/>
      <c r="DB17" s="106"/>
      <c r="DC17" s="106">
        <f>_xlfn.XLOOKUP(C17,[1]Overtime!$B$8:$B$2327,[1]Overtime!$BA$8:$BA$2327,"",,-1)</f>
        <v>0</v>
      </c>
      <c r="DD17" s="106">
        <f>_xlfn.XLOOKUP(C17,[1]Timesheet!$B$9:$B$2328,[1]Timesheet!$BS$9:$BS$2328,0,,-1)</f>
        <v>0</v>
      </c>
      <c r="DE17" s="106">
        <f>_xlfn.XLOOKUP(C17,[1]Timesheet!$B$7:$B$616,[1]Timesheet!$BK$7:$BK$616,0)+_xlfn.XLOOKUP(C17,[1]Timesheet!$B$7:$B$616,[1]Timesheet!$AV$7:$AV$616,0)-_xlfn.XLOOKUP(C17,[1]Timesheet!$B$7:$B$616,[1]Timesheet!$AX$7:$AX$616,0)+_xlfn.XLOOKUP(C17,[1]Timesheet!$B$7:$B$616,[1]Timesheet!$AW$7:$AW$616,0)-_xlfn.XLOOKUP(C17,[1]Timesheet!$B$7:$B$616,[1]Timesheet!$AY$7:$AY$616,0)</f>
        <v>0</v>
      </c>
      <c r="DF17" s="106">
        <f t="shared" si="32"/>
        <v>0</v>
      </c>
      <c r="DG17" s="106">
        <f>_xlfn.XLOOKUP(C17,[1]Timesheet!$B$7:$B$616,[1]Timesheet!$BV$7:$BV$616,0)+_xlfn.XLOOKUP(C17,[1]Timesheet!$B$7:$B$616,[1]Timesheet!$AX$7:$AX$616,0)++_xlfn.XLOOKUP(C17,[1]Timesheet!$B$7:$B$616,[1]Timesheet!$AY$7:$AY$616,0)</f>
        <v>2</v>
      </c>
      <c r="DH17" s="106">
        <f t="shared" si="33"/>
        <v>-500000</v>
      </c>
      <c r="DI17" s="106">
        <f>_xlfn.XLOOKUP(C17,[1]Timesheet!$B$7:$B$616,[1]Timesheet!$AZ$7:$AZ$616,0)+_xlfn.XLOOKUP(C17,[1]Timesheet!$B$7:$B$616,[1]Timesheet!$BA$7:$BA$616,0)</f>
        <v>0</v>
      </c>
      <c r="DJ17" s="106">
        <f>IF(CW17="x",IF((ROUND(Y17*W17/$J$3,0))&lt;0,0,ROUND(Y17*W17/$J$3,0)),IF(OR(CR17&gt;0,CS17&gt;0,CT17&gt;0),W17/$J$3*(Y17+_xlfn.XLOOKUP(C17,[1]Timesheet!B:B,[1]Timesheet!BS:BS,0,,-1)+_xlfn.XLOOKUP(C17,[1]Timesheet!B:B,[1]Timesheet!BU:BU,0,,-1)),IF(OR(DH17&lt;0,DF17&lt;0),IF(DI17&gt;0,W17/$J$3*($J$3-DI17),W17),W17/$J$3*(Y17+_xlfn.XLOOKUP(C17,[1]Timesheet!B:B,[1]Timesheet!BS:BS,0,,-1)+_xlfn.XLOOKUP(C17,[1]Timesheet!B:B,[1]Timesheet!BU:BU,0,,-1)))))</f>
        <v>0</v>
      </c>
      <c r="DK17" s="106">
        <f t="shared" si="34"/>
        <v>-500000</v>
      </c>
      <c r="DL17" s="106">
        <f>_xlfn.XLOOKUP(C17,[1]Timesheet!$B$7:$B$565,[1]Timesheet!$BB$7:$BB$565,0)</f>
        <v>0</v>
      </c>
      <c r="DM17" s="106">
        <f>_xlfn.XLOOKUP(C17,[1]Timesheet!$B$7:$B$565,[1]Timesheet!$BC$7:$BC$565,0)</f>
        <v>0</v>
      </c>
      <c r="DN17" s="106">
        <f>_xlfn.XLOOKUP(C17,[1]Timesheet!$B$7:$B$565,[1]Timesheet!$BF$7:$BF$565,0)</f>
        <v>0</v>
      </c>
      <c r="DO17" s="106">
        <f>_xlfn.XLOOKUP(C17,[1]Timesheet!$B$7:$B$565,[1]Timesheet!$BJ$7:$BJ$565,0)</f>
        <v>0</v>
      </c>
      <c r="DP17" s="106">
        <f t="shared" si="35"/>
        <v>0</v>
      </c>
      <c r="DQ17" s="106">
        <f>_xlfn.XLOOKUP(C17,[1]Timesheet!$B$7:$B$565,[1]Timesheet!$BT$7:$BT$565,0)</f>
        <v>21</v>
      </c>
      <c r="DR17" s="106">
        <f>_xlfn.XLOOKUP(C17,[1]Timesheet!$B$7:$B$565,[1]Timesheet!$BM$7:$BM$565,0)</f>
        <v>0</v>
      </c>
      <c r="DS17" s="106">
        <f t="shared" si="36"/>
        <v>0</v>
      </c>
      <c r="DT17" s="106">
        <f t="shared" si="37"/>
        <v>0</v>
      </c>
      <c r="DU17" s="106">
        <f t="shared" si="38"/>
        <v>0</v>
      </c>
      <c r="DV17" s="106">
        <f t="shared" si="39"/>
        <v>0</v>
      </c>
      <c r="DW17" s="106">
        <f t="shared" si="40"/>
        <v>0</v>
      </c>
      <c r="DX17" s="106">
        <f t="shared" si="41"/>
        <v>6800000</v>
      </c>
      <c r="DY17" s="106">
        <f t="shared" si="42"/>
        <v>600000</v>
      </c>
      <c r="DZ17" s="106">
        <f t="shared" si="43"/>
        <v>1000000</v>
      </c>
      <c r="EA17" s="106">
        <f>_xlfn.XLOOKUP(C17,[1]Timesheet!$B$7:$B$565,[1]Timesheet!$BI$7:$BI$565,0)</f>
        <v>2</v>
      </c>
      <c r="EB17" s="106">
        <f t="shared" si="44"/>
        <v>0</v>
      </c>
      <c r="EC17" s="106">
        <f t="shared" si="45"/>
        <v>0</v>
      </c>
      <c r="ED17" s="106">
        <f t="shared" si="46"/>
        <v>0</v>
      </c>
      <c r="EE17" s="106">
        <f t="shared" si="47"/>
        <v>0</v>
      </c>
      <c r="EF17" s="99">
        <f>ROUND((SUM(N17:P17)+W17+X17+T17+U17+V17)/($J$3*8)*_xlfn.XLOOKUP(C17,[1]Overtime!$B$9:$B$557,[1]Overtime!$AU$9:$AU$557,0),0)</f>
        <v>0</v>
      </c>
      <c r="EG17" s="99">
        <f>ROUND(((SUM(N17:P17)+W17+X17+T17+U17+V17)/($J$3*8))*_xlfn.XLOOKUP(C17,[1]Overtime!$B$9:$B$557,[1]Overtime!$AY$9:$AY$557,0),0)</f>
        <v>0</v>
      </c>
      <c r="EH17" s="99">
        <f t="shared" si="48"/>
        <v>0</v>
      </c>
      <c r="EI17" s="99">
        <f t="shared" si="49"/>
        <v>0</v>
      </c>
      <c r="EJ17" s="99">
        <f t="shared" si="49"/>
        <v>0</v>
      </c>
      <c r="EK17" s="99">
        <f>ROUND((SUM(N17:P17)+W17+X17+T17+U17+V17)/($J$3*8)*_xlfn.XLOOKUP(C17,[1]Overtime!$B$9:$B$557,[1]Overtime!$AO$9:$AO$557,0)*1.5,0)</f>
        <v>0</v>
      </c>
      <c r="EL17" s="99">
        <f>ROUND((SUM(N17:P17)+W17+X17+T17+U17+V17)/($J$3*8)*_xlfn.XLOOKUP(C17,[1]Overtime!$B$9:$B$557,[1]Overtime!$AP$9:$AP$557,0)*2,0)</f>
        <v>0</v>
      </c>
      <c r="EM17" s="99">
        <f t="shared" si="50"/>
        <v>0</v>
      </c>
      <c r="EN17" s="99">
        <f t="shared" si="51"/>
        <v>0</v>
      </c>
      <c r="EO17" s="99">
        <f t="shared" si="52"/>
        <v>0</v>
      </c>
      <c r="EP17" s="99">
        <f t="shared" si="53"/>
        <v>0</v>
      </c>
      <c r="EQ17" s="87">
        <v>0</v>
      </c>
      <c r="ER17" s="87">
        <f t="shared" si="54"/>
        <v>0</v>
      </c>
      <c r="ET17" s="87"/>
      <c r="EU17" s="88"/>
      <c r="EV17" s="87"/>
    </row>
    <row r="18" spans="1:152" s="107" customFormat="1" ht="27.75" customHeight="1" x14ac:dyDescent="0.25">
      <c r="A18" s="89"/>
      <c r="B18" s="90">
        <f t="shared" si="56"/>
        <v>9</v>
      </c>
      <c r="C18" s="91" t="s">
        <v>240</v>
      </c>
      <c r="D18" s="92" t="s">
        <v>241</v>
      </c>
      <c r="E18" s="92" t="str">
        <f t="shared" si="3"/>
        <v>Probation</v>
      </c>
      <c r="F18" s="93">
        <f t="shared" si="4"/>
        <v>0</v>
      </c>
      <c r="G18" s="92" t="s">
        <v>213</v>
      </c>
      <c r="H18" s="91" t="s">
        <v>214</v>
      </c>
      <c r="I18" s="94" t="s">
        <v>225</v>
      </c>
      <c r="J18" s="95" t="s">
        <v>213</v>
      </c>
      <c r="K18" s="95" t="s">
        <v>222</v>
      </c>
      <c r="L18" s="96">
        <f t="shared" si="5"/>
        <v>6500000</v>
      </c>
      <c r="M18" s="97">
        <f t="shared" si="6"/>
        <v>6500000</v>
      </c>
      <c r="N18" s="97">
        <v>5200000</v>
      </c>
      <c r="O18" s="97">
        <v>300000</v>
      </c>
      <c r="P18" s="97">
        <v>0</v>
      </c>
      <c r="Q18" s="97">
        <v>0</v>
      </c>
      <c r="R18" s="97">
        <v>300000</v>
      </c>
      <c r="S18" s="97">
        <v>0</v>
      </c>
      <c r="T18" s="97">
        <v>0</v>
      </c>
      <c r="U18" s="97">
        <v>0</v>
      </c>
      <c r="V18" s="97">
        <v>0</v>
      </c>
      <c r="W18" s="97">
        <v>1000000</v>
      </c>
      <c r="X18" s="97">
        <v>0</v>
      </c>
      <c r="Y18" s="98">
        <f>_xlfn.XLOOKUP(C18,[1]Timesheet!$B$9:$B$25,[1]Timesheet!$AO$9:$AO$25,0,,1)</f>
        <v>0.5</v>
      </c>
      <c r="Z18" s="99">
        <f t="shared" si="7"/>
        <v>100000</v>
      </c>
      <c r="AA18" s="99">
        <f>ROUND(O18/$J$3*(Y18+_xlfn.XLOOKUP(C18,[1]Timesheet!B:B,[1]Timesheet!BS:BS,0)),0)</f>
        <v>5769</v>
      </c>
      <c r="AB18" s="99">
        <f>ROUND(IF(Y18&gt;=8,P18,(P18/$J$3)*(Y18+_xlfn.XLOOKUP(C18,[1]Timesheet!B:B,[1]Timesheet!BS:BS,0))),0)</f>
        <v>0</v>
      </c>
      <c r="AC18" s="99">
        <f t="shared" si="8"/>
        <v>0</v>
      </c>
      <c r="AD18" s="99">
        <f>IF(_xlfn.XLOOKUP(Salary!C18,[1]Bus!B:B,[1]Bus!G:G,"",,-1)=1,0,ROUND((R18/$J$3)*ROUND(Y18+_xlfn.XLOOKUP(C18,[1]Timesheet!B:B,[1]Timesheet!BS:BS,0,,-1),0),0))</f>
        <v>11538</v>
      </c>
      <c r="AE18" s="99">
        <f t="shared" si="9"/>
        <v>0</v>
      </c>
      <c r="AF18" s="99">
        <f>ROUND(IF(Y18&gt;=8,T18,(T18/$J$3)*(Y18+_xlfn.XLOOKUP(C18,[1]Timesheet!B:B,[1]Timesheet!BS:BS,0))),0)</f>
        <v>0</v>
      </c>
      <c r="AG18" s="99">
        <f>ROUND(IF(Y18&gt;=8,U18,(U18/$J$3)*(Y18+_xlfn.XLOOKUP(C18,[1]Timesheet!B:B,[1]Timesheet!BS:BS,0))),0)</f>
        <v>0</v>
      </c>
      <c r="AH18" s="99">
        <f>ROUND(IF(OR(CR18&gt;0,Y18&lt;8),(V18/$J$3)*(Y18+_xlfn.XLOOKUP(C18,[1]Timesheet!B:B,[1]Timesheet!BS:BS,0)),V18),0)</f>
        <v>0</v>
      </c>
      <c r="AI18" s="99">
        <f t="shared" si="10"/>
        <v>0</v>
      </c>
      <c r="AJ18" s="99">
        <f>IF(Y18&gt;0,ROUND(IF(LEN(CR18)&gt;2,(X18/$J$3)*(Y18+_xlfn.XLOOKUP(C18,[1]Timesheet!B:B,[1]Timesheet!BS:BS,0)),X18),0),0)</f>
        <v>0</v>
      </c>
      <c r="AK18" s="98">
        <f>_xlfn.XLOOKUP(C18,[1]Overtime!$B$7:$B$557,[1]Overtime!$AN$7:$AN$557,0)</f>
        <v>2</v>
      </c>
      <c r="AL18" s="99">
        <f>ROUND(((SUM(N18:P18)+SUM(T18:X18))/($J$3*8))*_xlfn.XLOOKUP(C18,[1]Overtime!$B$9:$B$557,[1]Overtime!$AU$9:$AU$557,0),0)</f>
        <v>62500</v>
      </c>
      <c r="AM18" s="99">
        <f>ROUND(((SUM(N18:P18)+SUM(T18:X18))/($J$3*8))*_xlfn.XLOOKUP(C18,[1]Overtime!$B$9:$B$557,[1]Overtime!$AY$9:$AY$557,0),0)</f>
        <v>31250</v>
      </c>
      <c r="AN18" s="99">
        <f t="shared" si="11"/>
        <v>93750</v>
      </c>
      <c r="AO18" s="99"/>
      <c r="AP18" s="99"/>
      <c r="AQ18" s="99"/>
      <c r="AR18" s="99">
        <f>ROUND(_xlfn.XLOOKUP(C18,[1]Timesheet!$B$9:$B$458,[1]Timesheet!$BQ$9:$BQ$458,,,-1)*SUM(Salary!N18:P18,Salary!T18:X18)*20%/Salary!$J$3,0)</f>
        <v>0</v>
      </c>
      <c r="AS18" s="99">
        <v>0</v>
      </c>
      <c r="AT18" s="99">
        <v>0</v>
      </c>
      <c r="AU18" s="99"/>
      <c r="AV18" s="99">
        <f>IF(CV18="x",IF(IF(CR18&gt;0,$CW$3-_xlfn.XLOOKUP(C18,[1]Timesheet!B:B,[1]Timesheet!BW:BW,0,,-1),$CW$3-_xlfn.XLOOKUP(C18,[1]Timesheet!B:B,[1]Timesheet!BW:BW,0,,-1)-$EB$3)&lt;14,ROUND(L18*20.5%+M18*1%,0),0),0)</f>
        <v>0</v>
      </c>
      <c r="AW18" s="99">
        <f t="shared" si="12"/>
        <v>0</v>
      </c>
      <c r="AX18" s="99">
        <f t="shared" si="13"/>
        <v>0</v>
      </c>
      <c r="AY18" s="99"/>
      <c r="AZ18" s="99">
        <v>0</v>
      </c>
      <c r="BA18" s="99"/>
      <c r="BB18" s="99"/>
      <c r="BC18" s="99"/>
      <c r="BD18" s="99"/>
      <c r="BE18" s="99">
        <f t="shared" si="14"/>
        <v>211057</v>
      </c>
      <c r="BF18" s="99">
        <f t="shared" si="55"/>
        <v>0</v>
      </c>
      <c r="BG18" s="97">
        <v>0</v>
      </c>
      <c r="BH18" s="99"/>
      <c r="BI18" s="99"/>
      <c r="BJ18" s="99">
        <f t="shared" si="16"/>
        <v>0</v>
      </c>
      <c r="BK18" s="99">
        <f t="shared" si="17"/>
        <v>0</v>
      </c>
      <c r="BL18" s="99">
        <f t="shared" si="18"/>
        <v>117307</v>
      </c>
      <c r="BM18" s="99">
        <f t="shared" si="19"/>
        <v>117307</v>
      </c>
      <c r="BN18" s="99">
        <f t="shared" si="20"/>
        <v>0</v>
      </c>
      <c r="BO18" s="99">
        <f t="shared" si="21"/>
        <v>0</v>
      </c>
      <c r="BP18" s="99">
        <f t="shared" si="22"/>
        <v>0</v>
      </c>
      <c r="BQ18" s="99">
        <f t="shared" si="23"/>
        <v>0</v>
      </c>
      <c r="BR18" s="99">
        <f t="shared" si="24"/>
        <v>0</v>
      </c>
      <c r="BS18" s="99">
        <f t="shared" si="25"/>
        <v>0</v>
      </c>
      <c r="BT18" s="99"/>
      <c r="BU18" s="99"/>
      <c r="BV18" s="99"/>
      <c r="BW18" s="99">
        <v>0</v>
      </c>
      <c r="BX18" s="99"/>
      <c r="BY18" s="99"/>
      <c r="BZ18" s="99"/>
      <c r="CA18" s="99"/>
      <c r="CB18" s="99"/>
      <c r="CC18" s="99"/>
      <c r="CD18" s="99"/>
      <c r="CE18" s="99"/>
      <c r="CF18" s="99"/>
      <c r="CG18" s="99">
        <f t="shared" si="26"/>
        <v>211057</v>
      </c>
      <c r="CH18" s="99">
        <f t="shared" si="27"/>
        <v>211057</v>
      </c>
      <c r="CI18" s="99">
        <f t="shared" si="28"/>
        <v>0</v>
      </c>
      <c r="CJ18" s="100"/>
      <c r="CK18" s="101">
        <f t="shared" si="29"/>
        <v>0</v>
      </c>
      <c r="CL18" s="102"/>
      <c r="CM18" s="96">
        <f t="shared" si="30"/>
        <v>0</v>
      </c>
      <c r="CN18" s="101"/>
      <c r="CO18" s="101">
        <f t="shared" si="31"/>
        <v>0</v>
      </c>
      <c r="CP18" s="103">
        <v>46192</v>
      </c>
      <c r="CQ18" s="103">
        <v>46222</v>
      </c>
      <c r="CR18" s="104">
        <v>46200</v>
      </c>
      <c r="CS18" s="103">
        <v>0</v>
      </c>
      <c r="CT18" s="103">
        <v>0</v>
      </c>
      <c r="CU18" s="101"/>
      <c r="CV18" s="103" t="s">
        <v>226</v>
      </c>
      <c r="CW18" s="103" t="s">
        <v>226</v>
      </c>
      <c r="CX18" s="105"/>
      <c r="CY18" s="105"/>
      <c r="CZ18" s="105"/>
      <c r="DA18" s="99"/>
      <c r="DB18" s="106"/>
      <c r="DC18" s="106">
        <f>_xlfn.XLOOKUP(C18,[1]Overtime!$B$8:$B$2327,[1]Overtime!$BA$8:$BA$2327,"",,-1)</f>
        <v>0</v>
      </c>
      <c r="DD18" s="106">
        <f>_xlfn.XLOOKUP(C18,[1]Timesheet!$B$9:$B$2328,[1]Timesheet!$BS$9:$BS$2328,0,,-1)</f>
        <v>0</v>
      </c>
      <c r="DE18" s="106">
        <f>_xlfn.XLOOKUP(C18,[1]Timesheet!$B$7:$B$616,[1]Timesheet!$BK$7:$BK$616,0)+_xlfn.XLOOKUP(C18,[1]Timesheet!$B$7:$B$616,[1]Timesheet!$AV$7:$AV$616,0)-_xlfn.XLOOKUP(C18,[1]Timesheet!$B$7:$B$616,[1]Timesheet!$AX$7:$AX$616,0)+_xlfn.XLOOKUP(C18,[1]Timesheet!$B$7:$B$616,[1]Timesheet!$AW$7:$AW$616,0)-_xlfn.XLOOKUP(C18,[1]Timesheet!$B$7:$B$616,[1]Timesheet!$AY$7:$AY$616,0)</f>
        <v>1</v>
      </c>
      <c r="DF18" s="106">
        <f t="shared" si="32"/>
        <v>-100000</v>
      </c>
      <c r="DG18" s="106">
        <f>_xlfn.XLOOKUP(C18,[1]Timesheet!$B$7:$B$616,[1]Timesheet!$BV$7:$BV$616,0)+_xlfn.XLOOKUP(C18,[1]Timesheet!$B$7:$B$616,[1]Timesheet!$AX$7:$AX$616,0)++_xlfn.XLOOKUP(C18,[1]Timesheet!$B$7:$B$616,[1]Timesheet!$AY$7:$AY$616,0)</f>
        <v>0</v>
      </c>
      <c r="DH18" s="106">
        <f t="shared" si="33"/>
        <v>0</v>
      </c>
      <c r="DI18" s="106">
        <f>_xlfn.XLOOKUP(C18,[1]Timesheet!$B$7:$B$616,[1]Timesheet!$AZ$7:$AZ$616,0)+_xlfn.XLOOKUP(C18,[1]Timesheet!$B$7:$B$616,[1]Timesheet!$BA$7:$BA$616,0)</f>
        <v>0</v>
      </c>
      <c r="DJ18" s="106">
        <f>IF(CW18="x",IF((ROUND(Y18*W18/$J$3,0))&lt;0,0,ROUND(Y18*W18/$J$3,0)),IF(OR(CR18&gt;0,CS18&gt;0,CT18&gt;0),W18/$J$3*(Y18+_xlfn.XLOOKUP(C18,[1]Timesheet!B:B,[1]Timesheet!BS:BS,0,,-1)+_xlfn.XLOOKUP(C18,[1]Timesheet!B:B,[1]Timesheet!BU:BU,0,,-1)),IF(OR(DH18&lt;0,DF18&lt;0),IF(DI18&gt;0,W18/$J$3*($J$3-DI18),W18),W18/$J$3*(Y18+_xlfn.XLOOKUP(C18,[1]Timesheet!B:B,[1]Timesheet!BS:BS,0,,-1)+_xlfn.XLOOKUP(C18,[1]Timesheet!B:B,[1]Timesheet!BU:BU,0,,-1)))))</f>
        <v>19231</v>
      </c>
      <c r="DK18" s="106">
        <f t="shared" si="34"/>
        <v>-100000</v>
      </c>
      <c r="DL18" s="106">
        <f>_xlfn.XLOOKUP(C18,[1]Timesheet!$B$7:$B$565,[1]Timesheet!$BB$7:$BB$565,0)</f>
        <v>0</v>
      </c>
      <c r="DM18" s="106">
        <f>_xlfn.XLOOKUP(C18,[1]Timesheet!$B$7:$B$565,[1]Timesheet!$BC$7:$BC$565,0)</f>
        <v>0</v>
      </c>
      <c r="DN18" s="106">
        <f>_xlfn.XLOOKUP(C18,[1]Timesheet!$B$7:$B$565,[1]Timesheet!$BF$7:$BF$565,0)</f>
        <v>0</v>
      </c>
      <c r="DO18" s="106">
        <f>_xlfn.XLOOKUP(C18,[1]Timesheet!$B$7:$B$565,[1]Timesheet!$BJ$7:$BJ$565,0)</f>
        <v>0</v>
      </c>
      <c r="DP18" s="106">
        <f t="shared" si="35"/>
        <v>0</v>
      </c>
      <c r="DQ18" s="106">
        <f>_xlfn.XLOOKUP(C18,[1]Timesheet!$B$7:$B$565,[1]Timesheet!$BT$7:$BT$565,0)</f>
        <v>21</v>
      </c>
      <c r="DR18" s="106">
        <f>_xlfn.XLOOKUP(C18,[1]Timesheet!$B$7:$B$565,[1]Timesheet!$BM$7:$BM$565,0)</f>
        <v>0</v>
      </c>
      <c r="DS18" s="106">
        <f t="shared" si="36"/>
        <v>0</v>
      </c>
      <c r="DT18" s="106">
        <f t="shared" si="37"/>
        <v>0</v>
      </c>
      <c r="DU18" s="106">
        <f t="shared" si="38"/>
        <v>0</v>
      </c>
      <c r="DV18" s="106">
        <f t="shared" si="39"/>
        <v>0</v>
      </c>
      <c r="DW18" s="106">
        <f t="shared" si="40"/>
        <v>0</v>
      </c>
      <c r="DX18" s="106">
        <f t="shared" si="41"/>
        <v>6800000</v>
      </c>
      <c r="DY18" s="106">
        <f t="shared" si="42"/>
        <v>600000</v>
      </c>
      <c r="DZ18" s="106">
        <f t="shared" si="43"/>
        <v>1000000</v>
      </c>
      <c r="EA18" s="106">
        <f>_xlfn.XLOOKUP(C18,[1]Timesheet!$B$7:$B$565,[1]Timesheet!$BI$7:$BI$565,0)</f>
        <v>0</v>
      </c>
      <c r="EB18" s="106">
        <f t="shared" si="44"/>
        <v>0</v>
      </c>
      <c r="EC18" s="106">
        <f t="shared" si="45"/>
        <v>0</v>
      </c>
      <c r="ED18" s="106">
        <f t="shared" si="46"/>
        <v>0</v>
      </c>
      <c r="EE18" s="106">
        <f t="shared" si="47"/>
        <v>0</v>
      </c>
      <c r="EF18" s="99">
        <f>ROUND((SUM(N18:P18)+W18+X18+T18+U18+V18)/($J$3*8)*_xlfn.XLOOKUP(C18,[1]Overtime!$B$9:$B$557,[1]Overtime!$AU$9:$AU$557,0),0)</f>
        <v>62500</v>
      </c>
      <c r="EG18" s="99">
        <f>ROUND(((SUM(N18:P18)+W18+X18+T18+U18+V18)/($J$3*8))*_xlfn.XLOOKUP(C18,[1]Overtime!$B$9:$B$557,[1]Overtime!$AY$9:$AY$557,0),0)</f>
        <v>31250</v>
      </c>
      <c r="EH18" s="99">
        <f t="shared" si="48"/>
        <v>93750</v>
      </c>
      <c r="EI18" s="99">
        <f t="shared" si="49"/>
        <v>0</v>
      </c>
      <c r="EJ18" s="99">
        <f t="shared" si="49"/>
        <v>0</v>
      </c>
      <c r="EK18" s="99">
        <f>ROUND((SUM(N18:P18)+W18+X18+T18+U18+V18)/($J$3*8)*_xlfn.XLOOKUP(C18,[1]Overtime!$B$9:$B$557,[1]Overtime!$AO$9:$AO$557,0)*1.5,0)</f>
        <v>93750</v>
      </c>
      <c r="EL18" s="99">
        <f>ROUND((SUM(N18:P18)+W18+X18+T18+U18+V18)/($J$3*8)*_xlfn.XLOOKUP(C18,[1]Overtime!$B$9:$B$557,[1]Overtime!$AP$9:$AP$557,0)*2,0)</f>
        <v>0</v>
      </c>
      <c r="EM18" s="99">
        <f t="shared" si="50"/>
        <v>0</v>
      </c>
      <c r="EN18" s="99">
        <f t="shared" si="51"/>
        <v>19231</v>
      </c>
      <c r="EO18" s="99">
        <f t="shared" si="52"/>
        <v>0</v>
      </c>
      <c r="EP18" s="99">
        <f t="shared" si="53"/>
        <v>0</v>
      </c>
      <c r="EQ18" s="87">
        <v>0</v>
      </c>
      <c r="ER18" s="87">
        <f t="shared" si="54"/>
        <v>0</v>
      </c>
      <c r="ET18" s="87"/>
      <c r="EU18" s="88"/>
      <c r="EV18" s="87"/>
    </row>
    <row r="19" spans="1:152" s="107" customFormat="1" ht="27.75" customHeight="1" x14ac:dyDescent="0.25">
      <c r="A19" s="89"/>
      <c r="B19" s="90">
        <f t="shared" si="56"/>
        <v>10</v>
      </c>
      <c r="C19" s="91" t="s">
        <v>242</v>
      </c>
      <c r="D19" s="92" t="s">
        <v>243</v>
      </c>
      <c r="E19" s="92" t="str">
        <f t="shared" si="3"/>
        <v>Probation</v>
      </c>
      <c r="F19" s="93">
        <f t="shared" si="4"/>
        <v>0</v>
      </c>
      <c r="G19" s="92" t="s">
        <v>213</v>
      </c>
      <c r="H19" s="91" t="s">
        <v>214</v>
      </c>
      <c r="I19" s="94" t="s">
        <v>244</v>
      </c>
      <c r="J19" s="95" t="s">
        <v>213</v>
      </c>
      <c r="K19" s="95" t="s">
        <v>216</v>
      </c>
      <c r="L19" s="96">
        <f t="shared" si="5"/>
        <v>6500000</v>
      </c>
      <c r="M19" s="97">
        <f t="shared" si="6"/>
        <v>6500000</v>
      </c>
      <c r="N19" s="97">
        <v>5200000</v>
      </c>
      <c r="O19" s="97">
        <v>300000</v>
      </c>
      <c r="P19" s="97">
        <v>0</v>
      </c>
      <c r="Q19" s="97">
        <v>0</v>
      </c>
      <c r="R19" s="97">
        <v>300000</v>
      </c>
      <c r="S19" s="97">
        <v>0</v>
      </c>
      <c r="T19" s="97">
        <v>0</v>
      </c>
      <c r="U19" s="97">
        <v>0</v>
      </c>
      <c r="V19" s="97">
        <v>0</v>
      </c>
      <c r="W19" s="97">
        <v>1000000</v>
      </c>
      <c r="X19" s="97">
        <v>0</v>
      </c>
      <c r="Y19" s="98">
        <f>_xlfn.XLOOKUP(C19,[1]Timesheet!$B$9:$B$25,[1]Timesheet!$AO$9:$AO$25,0,,1)</f>
        <v>1</v>
      </c>
      <c r="Z19" s="99">
        <f t="shared" si="7"/>
        <v>200000</v>
      </c>
      <c r="AA19" s="99">
        <f>ROUND(O19/$J$3*(Y19+_xlfn.XLOOKUP(C19,[1]Timesheet!B:B,[1]Timesheet!BS:BS,0)),0)</f>
        <v>11538</v>
      </c>
      <c r="AB19" s="99">
        <f>ROUND(IF(Y19&gt;=8,P19,(P19/$J$3)*(Y19+_xlfn.XLOOKUP(C19,[1]Timesheet!B:B,[1]Timesheet!BS:BS,0))),0)</f>
        <v>0</v>
      </c>
      <c r="AC19" s="99">
        <f t="shared" si="8"/>
        <v>0</v>
      </c>
      <c r="AD19" s="99">
        <f>IF(_xlfn.XLOOKUP(Salary!C19,[1]Bus!B:B,[1]Bus!G:G,"",,-1)=1,0,ROUND((R19/$J$3)*ROUND(Y19+_xlfn.XLOOKUP(C19,[1]Timesheet!B:B,[1]Timesheet!BS:BS,0,,-1),0),0))</f>
        <v>11538</v>
      </c>
      <c r="AE19" s="99">
        <f t="shared" si="9"/>
        <v>0</v>
      </c>
      <c r="AF19" s="99">
        <f>ROUND(IF(Y19&gt;=8,T19,(T19/$J$3)*(Y19+_xlfn.XLOOKUP(C19,[1]Timesheet!B:B,[1]Timesheet!BS:BS,0))),0)</f>
        <v>0</v>
      </c>
      <c r="AG19" s="99">
        <f>ROUND(IF(Y19&gt;=8,U19,(U19/$J$3)*(Y19+_xlfn.XLOOKUP(C19,[1]Timesheet!B:B,[1]Timesheet!BS:BS,0))),0)</f>
        <v>0</v>
      </c>
      <c r="AH19" s="99">
        <f>ROUND(IF(OR(CR19&gt;0,Y19&lt;8),(V19/$J$3)*(Y19+_xlfn.XLOOKUP(C19,[1]Timesheet!B:B,[1]Timesheet!BS:BS,0)),V19),0)</f>
        <v>0</v>
      </c>
      <c r="AI19" s="99">
        <f t="shared" si="10"/>
        <v>0</v>
      </c>
      <c r="AJ19" s="99">
        <f>IF(Y19&gt;0,ROUND(IF(LEN(CR19)&gt;2,(X19/$J$3)*(Y19+_xlfn.XLOOKUP(C19,[1]Timesheet!B:B,[1]Timesheet!BS:BS,0)),X19),0),0)</f>
        <v>0</v>
      </c>
      <c r="AK19" s="98">
        <f>_xlfn.XLOOKUP(C19,[1]Overtime!$B$7:$B$557,[1]Overtime!$AN$7:$AN$557,0)</f>
        <v>0</v>
      </c>
      <c r="AL19" s="99">
        <f>ROUND(((SUM(N19:P19)+SUM(T19:X19))/($J$3*8))*_xlfn.XLOOKUP(C19,[1]Overtime!$B$9:$B$557,[1]Overtime!$AU$9:$AU$557,0),0)</f>
        <v>0</v>
      </c>
      <c r="AM19" s="99">
        <f>ROUND(((SUM(N19:P19)+SUM(T19:X19))/($J$3*8))*_xlfn.XLOOKUP(C19,[1]Overtime!$B$9:$B$557,[1]Overtime!$AY$9:$AY$557,0),0)</f>
        <v>0</v>
      </c>
      <c r="AN19" s="99">
        <f t="shared" si="11"/>
        <v>0</v>
      </c>
      <c r="AO19" s="99"/>
      <c r="AP19" s="99"/>
      <c r="AQ19" s="99"/>
      <c r="AR19" s="99">
        <f>ROUND(_xlfn.XLOOKUP(C19,[1]Timesheet!$B$9:$B$458,[1]Timesheet!$BQ$9:$BQ$458,,,-1)*SUM(Salary!N19:P19,Salary!T19:X19)*20%/Salary!$J$3,0)</f>
        <v>0</v>
      </c>
      <c r="AS19" s="99">
        <v>20000</v>
      </c>
      <c r="AT19" s="99">
        <v>0</v>
      </c>
      <c r="AU19" s="99"/>
      <c r="AV19" s="99">
        <f>IF(CV19="x",IF(IF(CR19&gt;0,$CW$3-_xlfn.XLOOKUP(C19,[1]Timesheet!B:B,[1]Timesheet!BW:BW,0,,-1),$CW$3-_xlfn.XLOOKUP(C19,[1]Timesheet!B:B,[1]Timesheet!BW:BW,0,,-1)-$EB$3)&lt;14,ROUND(L19*20.5%+M19*1%,0),0),0)</f>
        <v>0</v>
      </c>
      <c r="AW19" s="99">
        <f t="shared" si="12"/>
        <v>0</v>
      </c>
      <c r="AX19" s="99">
        <f t="shared" si="13"/>
        <v>46875</v>
      </c>
      <c r="AY19" s="99"/>
      <c r="AZ19" s="99">
        <v>0</v>
      </c>
      <c r="BA19" s="99"/>
      <c r="BB19" s="99"/>
      <c r="BC19" s="99"/>
      <c r="BD19" s="99"/>
      <c r="BE19" s="99">
        <f t="shared" si="14"/>
        <v>289951</v>
      </c>
      <c r="BF19" s="99">
        <f t="shared" si="55"/>
        <v>0</v>
      </c>
      <c r="BG19" s="97">
        <v>0</v>
      </c>
      <c r="BH19" s="99"/>
      <c r="BI19" s="99"/>
      <c r="BJ19" s="99">
        <f t="shared" si="16"/>
        <v>0</v>
      </c>
      <c r="BK19" s="99">
        <f t="shared" si="17"/>
        <v>0</v>
      </c>
      <c r="BL19" s="99">
        <f t="shared" si="18"/>
        <v>289951</v>
      </c>
      <c r="BM19" s="99">
        <f t="shared" si="19"/>
        <v>289951</v>
      </c>
      <c r="BN19" s="99">
        <f t="shared" si="20"/>
        <v>0</v>
      </c>
      <c r="BO19" s="99">
        <f t="shared" si="21"/>
        <v>0</v>
      </c>
      <c r="BP19" s="99">
        <f t="shared" si="22"/>
        <v>0</v>
      </c>
      <c r="BQ19" s="99">
        <f t="shared" si="23"/>
        <v>0</v>
      </c>
      <c r="BR19" s="99">
        <f t="shared" si="24"/>
        <v>0</v>
      </c>
      <c r="BS19" s="99">
        <f t="shared" si="25"/>
        <v>0</v>
      </c>
      <c r="BT19" s="99"/>
      <c r="BU19" s="99"/>
      <c r="BV19" s="99"/>
      <c r="BW19" s="99">
        <v>0</v>
      </c>
      <c r="BX19" s="99"/>
      <c r="BY19" s="99"/>
      <c r="BZ19" s="99"/>
      <c r="CA19" s="99"/>
      <c r="CB19" s="99"/>
      <c r="CC19" s="99"/>
      <c r="CD19" s="99"/>
      <c r="CE19" s="99"/>
      <c r="CF19" s="99"/>
      <c r="CG19" s="99">
        <f t="shared" si="26"/>
        <v>289951</v>
      </c>
      <c r="CH19" s="99">
        <f t="shared" si="27"/>
        <v>289951</v>
      </c>
      <c r="CI19" s="99">
        <f t="shared" si="28"/>
        <v>0</v>
      </c>
      <c r="CJ19" s="100"/>
      <c r="CK19" s="101">
        <f t="shared" si="29"/>
        <v>0</v>
      </c>
      <c r="CL19" s="102">
        <v>1.5</v>
      </c>
      <c r="CM19" s="96">
        <f t="shared" si="30"/>
        <v>46875</v>
      </c>
      <c r="CN19" s="101"/>
      <c r="CO19" s="101">
        <f t="shared" si="31"/>
        <v>46875</v>
      </c>
      <c r="CP19" s="103">
        <v>46196</v>
      </c>
      <c r="CQ19" s="103">
        <v>46226</v>
      </c>
      <c r="CR19" s="104">
        <v>46202</v>
      </c>
      <c r="CS19" s="103">
        <v>0</v>
      </c>
      <c r="CT19" s="103">
        <v>0</v>
      </c>
      <c r="CU19" s="101"/>
      <c r="CV19" s="103" t="s">
        <v>226</v>
      </c>
      <c r="CW19" s="103" t="s">
        <v>226</v>
      </c>
      <c r="CX19" s="105"/>
      <c r="CY19" s="105"/>
      <c r="CZ19" s="105"/>
      <c r="DA19" s="99"/>
      <c r="DB19" s="106"/>
      <c r="DC19" s="106">
        <f>_xlfn.XLOOKUP(C19,[1]Overtime!$B$8:$B$2327,[1]Overtime!$BA$8:$BA$2327,"",,-1)</f>
        <v>0</v>
      </c>
      <c r="DD19" s="106">
        <f>_xlfn.XLOOKUP(C19,[1]Timesheet!$B$9:$B$2328,[1]Timesheet!$BS$9:$BS$2328,0,,-1)</f>
        <v>0</v>
      </c>
      <c r="DE19" s="106">
        <f>_xlfn.XLOOKUP(C19,[1]Timesheet!$B$7:$B$616,[1]Timesheet!$BK$7:$BK$616,0)+_xlfn.XLOOKUP(C19,[1]Timesheet!$B$7:$B$616,[1]Timesheet!$AV$7:$AV$616,0)-_xlfn.XLOOKUP(C19,[1]Timesheet!$B$7:$B$616,[1]Timesheet!$AX$7:$AX$616,0)+_xlfn.XLOOKUP(C19,[1]Timesheet!$B$7:$B$616,[1]Timesheet!$AW$7:$AW$616,0)-_xlfn.XLOOKUP(C19,[1]Timesheet!$B$7:$B$616,[1]Timesheet!$AY$7:$AY$616,0)</f>
        <v>0</v>
      </c>
      <c r="DF19" s="106">
        <f t="shared" si="32"/>
        <v>0</v>
      </c>
      <c r="DG19" s="106">
        <f>_xlfn.XLOOKUP(C19,[1]Timesheet!$B$7:$B$616,[1]Timesheet!$BV$7:$BV$616,0)+_xlfn.XLOOKUP(C19,[1]Timesheet!$B$7:$B$616,[1]Timesheet!$AX$7:$AX$616,0)++_xlfn.XLOOKUP(C19,[1]Timesheet!$B$7:$B$616,[1]Timesheet!$AY$7:$AY$616,0)</f>
        <v>1</v>
      </c>
      <c r="DH19" s="106">
        <f t="shared" si="33"/>
        <v>-200000</v>
      </c>
      <c r="DI19" s="106">
        <f>_xlfn.XLOOKUP(C19,[1]Timesheet!$B$7:$B$616,[1]Timesheet!$AZ$7:$AZ$616,0)+_xlfn.XLOOKUP(C19,[1]Timesheet!$B$7:$B$616,[1]Timesheet!$BA$7:$BA$616,0)</f>
        <v>0</v>
      </c>
      <c r="DJ19" s="106">
        <f>IF(CW19="x",IF((ROUND(Y19*W19/$J$3,0))&lt;0,0,ROUND(Y19*W19/$J$3,0)),IF(OR(CR19&gt;0,CS19&gt;0,CT19&gt;0),W19/$J$3*(Y19+_xlfn.XLOOKUP(C19,[1]Timesheet!B:B,[1]Timesheet!BS:BS,0,,-1)+_xlfn.XLOOKUP(C19,[1]Timesheet!B:B,[1]Timesheet!BU:BU,0,,-1)),IF(OR(DH19&lt;0,DF19&lt;0),IF(DI19&gt;0,W19/$J$3*($J$3-DI19),W19),W19/$J$3*(Y19+_xlfn.XLOOKUP(C19,[1]Timesheet!B:B,[1]Timesheet!BS:BS,0,,-1)+_xlfn.XLOOKUP(C19,[1]Timesheet!B:B,[1]Timesheet!BU:BU,0,,-1)))))</f>
        <v>38462</v>
      </c>
      <c r="DK19" s="106">
        <f t="shared" si="34"/>
        <v>-200000</v>
      </c>
      <c r="DL19" s="106">
        <f>_xlfn.XLOOKUP(C19,[1]Timesheet!$B$7:$B$565,[1]Timesheet!$BB$7:$BB$565,0)</f>
        <v>0</v>
      </c>
      <c r="DM19" s="106">
        <f>_xlfn.XLOOKUP(C19,[1]Timesheet!$B$7:$B$565,[1]Timesheet!$BC$7:$BC$565,0)</f>
        <v>0</v>
      </c>
      <c r="DN19" s="106">
        <f>_xlfn.XLOOKUP(C19,[1]Timesheet!$B$7:$B$565,[1]Timesheet!$BF$7:$BF$565,0)</f>
        <v>0</v>
      </c>
      <c r="DO19" s="106">
        <f>_xlfn.XLOOKUP(C19,[1]Timesheet!$B$7:$B$565,[1]Timesheet!$BJ$7:$BJ$565,0)</f>
        <v>0</v>
      </c>
      <c r="DP19" s="106">
        <f t="shared" si="35"/>
        <v>0</v>
      </c>
      <c r="DQ19" s="106">
        <f>_xlfn.XLOOKUP(C19,[1]Timesheet!$B$7:$B$565,[1]Timesheet!$BT$7:$BT$565,0)</f>
        <v>21</v>
      </c>
      <c r="DR19" s="106">
        <f>_xlfn.XLOOKUP(C19,[1]Timesheet!$B$7:$B$565,[1]Timesheet!$BM$7:$BM$565,0)</f>
        <v>0</v>
      </c>
      <c r="DS19" s="106">
        <f t="shared" si="36"/>
        <v>0</v>
      </c>
      <c r="DT19" s="106">
        <f t="shared" si="37"/>
        <v>0</v>
      </c>
      <c r="DU19" s="106">
        <f t="shared" si="38"/>
        <v>0</v>
      </c>
      <c r="DV19" s="106">
        <f t="shared" si="39"/>
        <v>0</v>
      </c>
      <c r="DW19" s="106">
        <f t="shared" si="40"/>
        <v>0</v>
      </c>
      <c r="DX19" s="106">
        <f t="shared" si="41"/>
        <v>6800000</v>
      </c>
      <c r="DY19" s="106">
        <f t="shared" si="42"/>
        <v>600000</v>
      </c>
      <c r="DZ19" s="106">
        <f t="shared" si="43"/>
        <v>1000000</v>
      </c>
      <c r="EA19" s="106">
        <f>_xlfn.XLOOKUP(C19,[1]Timesheet!$B$7:$B$565,[1]Timesheet!$BI$7:$BI$565,0)</f>
        <v>1</v>
      </c>
      <c r="EB19" s="106">
        <f t="shared" si="44"/>
        <v>0</v>
      </c>
      <c r="EC19" s="106">
        <f t="shared" si="45"/>
        <v>0</v>
      </c>
      <c r="ED19" s="106">
        <f t="shared" si="46"/>
        <v>0</v>
      </c>
      <c r="EE19" s="106">
        <f t="shared" si="47"/>
        <v>0</v>
      </c>
      <c r="EF19" s="99">
        <f>ROUND((SUM(N19:P19)+W19+X19+T19+U19+V19)/($J$3*8)*_xlfn.XLOOKUP(C19,[1]Overtime!$B$9:$B$557,[1]Overtime!$AU$9:$AU$557,0),0)</f>
        <v>0</v>
      </c>
      <c r="EG19" s="99">
        <f>ROUND(((SUM(N19:P19)+W19+X19+T19+U19+V19)/($J$3*8))*_xlfn.XLOOKUP(C19,[1]Overtime!$B$9:$B$557,[1]Overtime!$AY$9:$AY$557,0),0)</f>
        <v>0</v>
      </c>
      <c r="EH19" s="99">
        <f t="shared" si="48"/>
        <v>0</v>
      </c>
      <c r="EI19" s="99">
        <f t="shared" si="49"/>
        <v>0</v>
      </c>
      <c r="EJ19" s="99">
        <f t="shared" si="49"/>
        <v>0</v>
      </c>
      <c r="EK19" s="99">
        <f>ROUND((SUM(N19:P19)+W19+X19+T19+U19+V19)/($J$3*8)*_xlfn.XLOOKUP(C19,[1]Overtime!$B$9:$B$557,[1]Overtime!$AO$9:$AO$557,0)*1.5,0)</f>
        <v>0</v>
      </c>
      <c r="EL19" s="99">
        <f>ROUND((SUM(N19:P19)+W19+X19+T19+U19+V19)/($J$3*8)*_xlfn.XLOOKUP(C19,[1]Overtime!$B$9:$B$557,[1]Overtime!$AP$9:$AP$557,0)*2,0)</f>
        <v>0</v>
      </c>
      <c r="EM19" s="99">
        <f t="shared" si="50"/>
        <v>0</v>
      </c>
      <c r="EN19" s="99">
        <f t="shared" si="51"/>
        <v>38462</v>
      </c>
      <c r="EO19" s="99">
        <f t="shared" si="52"/>
        <v>0</v>
      </c>
      <c r="EP19" s="99">
        <f t="shared" si="53"/>
        <v>0</v>
      </c>
      <c r="EQ19" s="87">
        <v>0</v>
      </c>
      <c r="ER19" s="87">
        <f t="shared" si="54"/>
        <v>0</v>
      </c>
      <c r="ET19" s="87"/>
      <c r="EU19" s="88"/>
      <c r="EV19" s="87"/>
    </row>
    <row r="20" spans="1:152" s="107" customFormat="1" ht="27.75" customHeight="1" x14ac:dyDescent="0.25">
      <c r="A20" s="89"/>
      <c r="B20" s="90">
        <f t="shared" si="56"/>
        <v>11</v>
      </c>
      <c r="C20" s="91" t="s">
        <v>245</v>
      </c>
      <c r="D20" s="92" t="s">
        <v>246</v>
      </c>
      <c r="E20" s="92" t="str">
        <f t="shared" si="3"/>
        <v>Probation</v>
      </c>
      <c r="F20" s="93">
        <f t="shared" si="4"/>
        <v>0</v>
      </c>
      <c r="G20" s="92" t="s">
        <v>219</v>
      </c>
      <c r="H20" s="91" t="s">
        <v>220</v>
      </c>
      <c r="I20" s="94" t="s">
        <v>247</v>
      </c>
      <c r="J20" s="95" t="s">
        <v>219</v>
      </c>
      <c r="K20" s="95" t="s">
        <v>248</v>
      </c>
      <c r="L20" s="96">
        <f t="shared" si="5"/>
        <v>6500000</v>
      </c>
      <c r="M20" s="97">
        <f t="shared" si="6"/>
        <v>6500000</v>
      </c>
      <c r="N20" s="97">
        <v>5200000</v>
      </c>
      <c r="O20" s="97">
        <v>300000</v>
      </c>
      <c r="P20" s="97">
        <v>0</v>
      </c>
      <c r="Q20" s="97">
        <v>0</v>
      </c>
      <c r="R20" s="97">
        <v>300000</v>
      </c>
      <c r="S20" s="97">
        <v>0</v>
      </c>
      <c r="T20" s="97">
        <v>0</v>
      </c>
      <c r="U20" s="97">
        <v>0</v>
      </c>
      <c r="V20" s="97">
        <v>0</v>
      </c>
      <c r="W20" s="97">
        <v>1000000</v>
      </c>
      <c r="X20" s="97">
        <v>0</v>
      </c>
      <c r="Y20" s="98">
        <f>_xlfn.XLOOKUP(C20,[1]Timesheet!$B$9:$B$25,[1]Timesheet!$AO$9:$AO$25,0,,1)</f>
        <v>2</v>
      </c>
      <c r="Z20" s="99">
        <f t="shared" si="7"/>
        <v>400000</v>
      </c>
      <c r="AA20" s="99">
        <f>ROUND(O20/$J$3*(Y20+_xlfn.XLOOKUP(C20,[1]Timesheet!B:B,[1]Timesheet!BS:BS,0)),0)</f>
        <v>23077</v>
      </c>
      <c r="AB20" s="99">
        <f>ROUND(IF(Y20&gt;=8,P20,(P20/$J$3)*(Y20+_xlfn.XLOOKUP(C20,[1]Timesheet!B:B,[1]Timesheet!BS:BS,0))),0)</f>
        <v>0</v>
      </c>
      <c r="AC20" s="99">
        <f t="shared" si="8"/>
        <v>0</v>
      </c>
      <c r="AD20" s="99">
        <f>IF(_xlfn.XLOOKUP(Salary!C20,[1]Bus!B:B,[1]Bus!G:G,"",,-1)=1,0,ROUND((R20/$J$3)*ROUND(Y20+_xlfn.XLOOKUP(C20,[1]Timesheet!B:B,[1]Timesheet!BS:BS,0,,-1),0),0))</f>
        <v>23077</v>
      </c>
      <c r="AE20" s="99">
        <f t="shared" si="9"/>
        <v>0</v>
      </c>
      <c r="AF20" s="99">
        <f>ROUND(IF(Y20&gt;=8,T20,(T20/$J$3)*(Y20+_xlfn.XLOOKUP(C20,[1]Timesheet!B:B,[1]Timesheet!BS:BS,0))),0)</f>
        <v>0</v>
      </c>
      <c r="AG20" s="99">
        <f>ROUND(IF(Y20&gt;=8,U20,(U20/$J$3)*(Y20+_xlfn.XLOOKUP(C20,[1]Timesheet!B:B,[1]Timesheet!BS:BS,0))),0)</f>
        <v>0</v>
      </c>
      <c r="AH20" s="99">
        <f>ROUND(IF(OR(CR20&gt;0,Y20&lt;8),(V20/$J$3)*(Y20+_xlfn.XLOOKUP(C20,[1]Timesheet!B:B,[1]Timesheet!BS:BS,0)),V20),0)</f>
        <v>0</v>
      </c>
      <c r="AI20" s="99">
        <f t="shared" si="10"/>
        <v>0</v>
      </c>
      <c r="AJ20" s="99">
        <f>IF(Y20&gt;0,ROUND(IF(LEN(CR20)&gt;2,(X20/$J$3)*(Y20+_xlfn.XLOOKUP(C20,[1]Timesheet!B:B,[1]Timesheet!BS:BS,0)),X20),0),0)</f>
        <v>0</v>
      </c>
      <c r="AK20" s="98">
        <f>_xlfn.XLOOKUP(C20,[1]Overtime!$B$7:$B$557,[1]Overtime!$AN$7:$AN$557,0)</f>
        <v>0</v>
      </c>
      <c r="AL20" s="99">
        <f>ROUND(((SUM(N20:P20)+SUM(T20:X20))/($J$3*8))*_xlfn.XLOOKUP(C20,[1]Overtime!$B$9:$B$557,[1]Overtime!$AU$9:$AU$557,0),0)</f>
        <v>0</v>
      </c>
      <c r="AM20" s="99">
        <f>ROUND(((SUM(N20:P20)+SUM(T20:X20))/($J$3*8))*_xlfn.XLOOKUP(C20,[1]Overtime!$B$9:$B$557,[1]Overtime!$AY$9:$AY$557,0),0)</f>
        <v>0</v>
      </c>
      <c r="AN20" s="99">
        <f t="shared" si="11"/>
        <v>0</v>
      </c>
      <c r="AO20" s="99"/>
      <c r="AP20" s="99"/>
      <c r="AQ20" s="99"/>
      <c r="AR20" s="99">
        <f>ROUND(_xlfn.XLOOKUP(C20,[1]Timesheet!$B$9:$B$458,[1]Timesheet!$BQ$9:$BQ$458,,,-1)*SUM(Salary!N20:P20,Salary!T20:X20)*20%/Salary!$J$3,0)</f>
        <v>0</v>
      </c>
      <c r="AS20" s="99">
        <v>0</v>
      </c>
      <c r="AT20" s="99">
        <v>0</v>
      </c>
      <c r="AU20" s="99"/>
      <c r="AV20" s="99">
        <f>IF(CV20="x",IF(IF(CR20&gt;0,$CW$3-_xlfn.XLOOKUP(C20,[1]Timesheet!B:B,[1]Timesheet!BW:BW,0,,-1),$CW$3-_xlfn.XLOOKUP(C20,[1]Timesheet!B:B,[1]Timesheet!BW:BW,0,,-1)-$EB$3)&lt;14,ROUND(L20*20.5%+M20*1%,0),0),0)</f>
        <v>0</v>
      </c>
      <c r="AW20" s="99">
        <f t="shared" si="12"/>
        <v>0</v>
      </c>
      <c r="AX20" s="99">
        <f t="shared" si="13"/>
        <v>0</v>
      </c>
      <c r="AY20" s="99"/>
      <c r="AZ20" s="99">
        <v>0</v>
      </c>
      <c r="BA20" s="99"/>
      <c r="BB20" s="99"/>
      <c r="BC20" s="99"/>
      <c r="BD20" s="99"/>
      <c r="BE20" s="99">
        <f t="shared" si="14"/>
        <v>446154</v>
      </c>
      <c r="BF20" s="99">
        <f t="shared" si="55"/>
        <v>0</v>
      </c>
      <c r="BG20" s="97">
        <v>0</v>
      </c>
      <c r="BH20" s="99"/>
      <c r="BI20" s="99"/>
      <c r="BJ20" s="99">
        <f t="shared" si="16"/>
        <v>0</v>
      </c>
      <c r="BK20" s="99">
        <f t="shared" si="17"/>
        <v>0</v>
      </c>
      <c r="BL20" s="99">
        <f t="shared" si="18"/>
        <v>446154</v>
      </c>
      <c r="BM20" s="99">
        <f t="shared" si="19"/>
        <v>446154</v>
      </c>
      <c r="BN20" s="99">
        <f t="shared" si="20"/>
        <v>0</v>
      </c>
      <c r="BO20" s="99">
        <f t="shared" si="21"/>
        <v>0</v>
      </c>
      <c r="BP20" s="99">
        <f t="shared" si="22"/>
        <v>0</v>
      </c>
      <c r="BQ20" s="99">
        <f t="shared" si="23"/>
        <v>0</v>
      </c>
      <c r="BR20" s="99">
        <f t="shared" si="24"/>
        <v>0</v>
      </c>
      <c r="BS20" s="99">
        <f t="shared" si="25"/>
        <v>0</v>
      </c>
      <c r="BT20" s="99"/>
      <c r="BU20" s="99"/>
      <c r="BV20" s="99"/>
      <c r="BW20" s="99">
        <v>0</v>
      </c>
      <c r="BX20" s="99"/>
      <c r="BY20" s="99"/>
      <c r="BZ20" s="99"/>
      <c r="CA20" s="99"/>
      <c r="CB20" s="99"/>
      <c r="CC20" s="99"/>
      <c r="CD20" s="99"/>
      <c r="CE20" s="99"/>
      <c r="CF20" s="99"/>
      <c r="CG20" s="99">
        <f t="shared" si="26"/>
        <v>446154</v>
      </c>
      <c r="CH20" s="99">
        <f t="shared" si="27"/>
        <v>446154</v>
      </c>
      <c r="CI20" s="99">
        <f t="shared" si="28"/>
        <v>0</v>
      </c>
      <c r="CJ20" s="100"/>
      <c r="CK20" s="101">
        <f t="shared" si="29"/>
        <v>0</v>
      </c>
      <c r="CL20" s="102"/>
      <c r="CM20" s="96">
        <f t="shared" si="30"/>
        <v>0</v>
      </c>
      <c r="CN20" s="101"/>
      <c r="CO20" s="101">
        <f t="shared" si="31"/>
        <v>0</v>
      </c>
      <c r="CP20" s="103">
        <v>46199</v>
      </c>
      <c r="CQ20" s="103">
        <v>46229</v>
      </c>
      <c r="CR20" s="104">
        <v>46206</v>
      </c>
      <c r="CS20" s="103">
        <v>0</v>
      </c>
      <c r="CT20" s="103">
        <v>0</v>
      </c>
      <c r="CU20" s="101"/>
      <c r="CV20" s="103" t="s">
        <v>226</v>
      </c>
      <c r="CW20" s="103" t="s">
        <v>226</v>
      </c>
      <c r="CX20" s="105"/>
      <c r="CY20" s="105"/>
      <c r="CZ20" s="105"/>
      <c r="DA20" s="99"/>
      <c r="DB20" s="106"/>
      <c r="DC20" s="106">
        <f>_xlfn.XLOOKUP(C20,[1]Overtime!$B$8:$B$2327,[1]Overtime!$BA$8:$BA$2327,"",,-1)</f>
        <v>0</v>
      </c>
      <c r="DD20" s="106">
        <f>_xlfn.XLOOKUP(C20,[1]Timesheet!$B$9:$B$2328,[1]Timesheet!$BS$9:$BS$2328,0,,-1)</f>
        <v>0</v>
      </c>
      <c r="DE20" s="106">
        <f>_xlfn.XLOOKUP(C20,[1]Timesheet!$B$7:$B$616,[1]Timesheet!$BK$7:$BK$616,0)+_xlfn.XLOOKUP(C20,[1]Timesheet!$B$7:$B$616,[1]Timesheet!$AV$7:$AV$616,0)-_xlfn.XLOOKUP(C20,[1]Timesheet!$B$7:$B$616,[1]Timesheet!$AX$7:$AX$616,0)+_xlfn.XLOOKUP(C20,[1]Timesheet!$B$7:$B$616,[1]Timesheet!$AW$7:$AW$616,0)-_xlfn.XLOOKUP(C20,[1]Timesheet!$B$7:$B$616,[1]Timesheet!$AY$7:$AY$616,0)</f>
        <v>0</v>
      </c>
      <c r="DF20" s="106">
        <f t="shared" si="32"/>
        <v>0</v>
      </c>
      <c r="DG20" s="106">
        <f>_xlfn.XLOOKUP(C20,[1]Timesheet!$B$7:$B$616,[1]Timesheet!$BV$7:$BV$616,0)+_xlfn.XLOOKUP(C20,[1]Timesheet!$B$7:$B$616,[1]Timesheet!$AX$7:$AX$616,0)++_xlfn.XLOOKUP(C20,[1]Timesheet!$B$7:$B$616,[1]Timesheet!$AY$7:$AY$616,0)</f>
        <v>4</v>
      </c>
      <c r="DH20" s="106">
        <f t="shared" si="33"/>
        <v>-1000000</v>
      </c>
      <c r="DI20" s="106">
        <f>_xlfn.XLOOKUP(C20,[1]Timesheet!$B$7:$B$616,[1]Timesheet!$AZ$7:$AZ$616,0)+_xlfn.XLOOKUP(C20,[1]Timesheet!$B$7:$B$616,[1]Timesheet!$BA$7:$BA$616,0)</f>
        <v>0</v>
      </c>
      <c r="DJ20" s="106">
        <f>IF(CW20="x",IF((ROUND(Y20*W20/$J$3,0))&lt;0,0,ROUND(Y20*W20/$J$3,0)),IF(OR(CR20&gt;0,CS20&gt;0,CT20&gt;0),W20/$J$3*(Y20+_xlfn.XLOOKUP(C20,[1]Timesheet!B:B,[1]Timesheet!BS:BS,0,,-1)+_xlfn.XLOOKUP(C20,[1]Timesheet!B:B,[1]Timesheet!BU:BU,0,,-1)),IF(OR(DH20&lt;0,DF20&lt;0),IF(DI20&gt;0,W20/$J$3*($J$3-DI20),W20),W20/$J$3*(Y20+_xlfn.XLOOKUP(C20,[1]Timesheet!B:B,[1]Timesheet!BS:BS,0,,-1)+_xlfn.XLOOKUP(C20,[1]Timesheet!B:B,[1]Timesheet!BU:BU,0,,-1)))))</f>
        <v>76923</v>
      </c>
      <c r="DK20" s="106">
        <f t="shared" si="34"/>
        <v>-1000000</v>
      </c>
      <c r="DL20" s="106">
        <f>_xlfn.XLOOKUP(C20,[1]Timesheet!$B$7:$B$565,[1]Timesheet!$BB$7:$BB$565,0)</f>
        <v>0</v>
      </c>
      <c r="DM20" s="106">
        <f>_xlfn.XLOOKUP(C20,[1]Timesheet!$B$7:$B$565,[1]Timesheet!$BC$7:$BC$565,0)</f>
        <v>0</v>
      </c>
      <c r="DN20" s="106">
        <f>_xlfn.XLOOKUP(C20,[1]Timesheet!$B$7:$B$565,[1]Timesheet!$BF$7:$BF$565,0)</f>
        <v>0</v>
      </c>
      <c r="DO20" s="106">
        <f>_xlfn.XLOOKUP(C20,[1]Timesheet!$B$7:$B$565,[1]Timesheet!$BJ$7:$BJ$565,0)</f>
        <v>2</v>
      </c>
      <c r="DP20" s="106">
        <f t="shared" si="35"/>
        <v>2</v>
      </c>
      <c r="DQ20" s="106">
        <f>_xlfn.XLOOKUP(C20,[1]Timesheet!$B$7:$B$565,[1]Timesheet!$BT$7:$BT$565,0)</f>
        <v>21</v>
      </c>
      <c r="DR20" s="106">
        <f>_xlfn.XLOOKUP(C20,[1]Timesheet!$B$7:$B$565,[1]Timesheet!$BM$7:$BM$565,0)</f>
        <v>0</v>
      </c>
      <c r="DS20" s="106">
        <f t="shared" si="36"/>
        <v>0</v>
      </c>
      <c r="DT20" s="106">
        <f t="shared" si="37"/>
        <v>0</v>
      </c>
      <c r="DU20" s="106">
        <f t="shared" si="38"/>
        <v>0</v>
      </c>
      <c r="DV20" s="106">
        <f t="shared" si="39"/>
        <v>0</v>
      </c>
      <c r="DW20" s="106">
        <f t="shared" si="40"/>
        <v>0</v>
      </c>
      <c r="DX20" s="106">
        <f t="shared" si="41"/>
        <v>6800000</v>
      </c>
      <c r="DY20" s="106">
        <f t="shared" si="42"/>
        <v>600000</v>
      </c>
      <c r="DZ20" s="106">
        <f t="shared" si="43"/>
        <v>1000000</v>
      </c>
      <c r="EA20" s="106">
        <f>_xlfn.XLOOKUP(C20,[1]Timesheet!$B$7:$B$565,[1]Timesheet!$BI$7:$BI$565,0)</f>
        <v>4</v>
      </c>
      <c r="EB20" s="106">
        <f t="shared" si="44"/>
        <v>0</v>
      </c>
      <c r="EC20" s="106">
        <f t="shared" si="45"/>
        <v>0</v>
      </c>
      <c r="ED20" s="106">
        <f t="shared" si="46"/>
        <v>0</v>
      </c>
      <c r="EE20" s="106">
        <f t="shared" si="47"/>
        <v>0</v>
      </c>
      <c r="EF20" s="99">
        <f>ROUND((SUM(N20:P20)+W20+X20+T20+U20+V20)/($J$3*8)*_xlfn.XLOOKUP(C20,[1]Overtime!$B$9:$B$557,[1]Overtime!$AU$9:$AU$557,0),0)</f>
        <v>0</v>
      </c>
      <c r="EG20" s="99">
        <f>ROUND(((SUM(N20:P20)+W20+X20+T20+U20+V20)/($J$3*8))*_xlfn.XLOOKUP(C20,[1]Overtime!$B$9:$B$557,[1]Overtime!$AY$9:$AY$557,0),0)</f>
        <v>0</v>
      </c>
      <c r="EH20" s="99">
        <f t="shared" si="48"/>
        <v>0</v>
      </c>
      <c r="EI20" s="99">
        <f t="shared" si="49"/>
        <v>0</v>
      </c>
      <c r="EJ20" s="99">
        <f t="shared" si="49"/>
        <v>0</v>
      </c>
      <c r="EK20" s="99">
        <f>ROUND((SUM(N20:P20)+W20+X20+T20+U20+V20)/($J$3*8)*_xlfn.XLOOKUP(C20,[1]Overtime!$B$9:$B$557,[1]Overtime!$AO$9:$AO$557,0)*1.5,0)</f>
        <v>0</v>
      </c>
      <c r="EL20" s="99">
        <f>ROUND((SUM(N20:P20)+W20+X20+T20+U20+V20)/($J$3*8)*_xlfn.XLOOKUP(C20,[1]Overtime!$B$9:$B$557,[1]Overtime!$AP$9:$AP$557,0)*2,0)</f>
        <v>0</v>
      </c>
      <c r="EM20" s="99">
        <f t="shared" si="50"/>
        <v>0</v>
      </c>
      <c r="EN20" s="99">
        <f t="shared" si="51"/>
        <v>76923</v>
      </c>
      <c r="EO20" s="99">
        <f t="shared" si="52"/>
        <v>0</v>
      </c>
      <c r="EP20" s="99">
        <f t="shared" si="53"/>
        <v>0</v>
      </c>
      <c r="EQ20" s="87">
        <v>0</v>
      </c>
      <c r="ER20" s="87">
        <f t="shared" si="54"/>
        <v>0</v>
      </c>
      <c r="ET20" s="87"/>
      <c r="EU20" s="88"/>
      <c r="EV20" s="87"/>
    </row>
    <row r="21" spans="1:152" s="107" customFormat="1" ht="27.75" customHeight="1" x14ac:dyDescent="0.25">
      <c r="A21" s="89"/>
      <c r="B21" s="90">
        <f t="shared" si="56"/>
        <v>12</v>
      </c>
      <c r="C21" s="91" t="s">
        <v>249</v>
      </c>
      <c r="D21" s="92" t="s">
        <v>250</v>
      </c>
      <c r="E21" s="92" t="str">
        <f t="shared" si="3"/>
        <v>Probation</v>
      </c>
      <c r="F21" s="93">
        <f t="shared" si="4"/>
        <v>0</v>
      </c>
      <c r="G21" s="92" t="s">
        <v>213</v>
      </c>
      <c r="H21" s="91" t="s">
        <v>214</v>
      </c>
      <c r="I21" s="94" t="s">
        <v>251</v>
      </c>
      <c r="J21" s="95" t="s">
        <v>213</v>
      </c>
      <c r="K21" s="95" t="s">
        <v>222</v>
      </c>
      <c r="L21" s="96">
        <f t="shared" si="5"/>
        <v>6500000</v>
      </c>
      <c r="M21" s="97">
        <f t="shared" si="6"/>
        <v>6500000</v>
      </c>
      <c r="N21" s="97">
        <v>5200000</v>
      </c>
      <c r="O21" s="97">
        <v>300000</v>
      </c>
      <c r="P21" s="97">
        <v>0</v>
      </c>
      <c r="Q21" s="97">
        <v>0</v>
      </c>
      <c r="R21" s="97">
        <v>300000</v>
      </c>
      <c r="S21" s="97">
        <v>0</v>
      </c>
      <c r="T21" s="97">
        <v>0</v>
      </c>
      <c r="U21" s="97">
        <v>0</v>
      </c>
      <c r="V21" s="97">
        <v>0</v>
      </c>
      <c r="W21" s="97">
        <v>1000000</v>
      </c>
      <c r="X21" s="97">
        <v>0</v>
      </c>
      <c r="Y21" s="98">
        <f>_xlfn.XLOOKUP(C21,[1]Timesheet!$B$9:$B$25,[1]Timesheet!$AO$9:$AO$25,0,,1)</f>
        <v>2</v>
      </c>
      <c r="Z21" s="99">
        <f t="shared" si="7"/>
        <v>400000</v>
      </c>
      <c r="AA21" s="99">
        <f>ROUND(O21/$J$3*(Y21+_xlfn.XLOOKUP(C21,[1]Timesheet!B:B,[1]Timesheet!BS:BS,0)),0)</f>
        <v>23077</v>
      </c>
      <c r="AB21" s="99">
        <f>ROUND(IF(Y21&gt;=8,P21,(P21/$J$3)*(Y21+_xlfn.XLOOKUP(C21,[1]Timesheet!B:B,[1]Timesheet!BS:BS,0))),0)</f>
        <v>0</v>
      </c>
      <c r="AC21" s="99">
        <f t="shared" si="8"/>
        <v>0</v>
      </c>
      <c r="AD21" s="99">
        <f>IF(_xlfn.XLOOKUP(Salary!C21,[1]Bus!B:B,[1]Bus!G:G,"",,-1)=1,0,ROUND((R21/$J$3)*ROUND(Y21+_xlfn.XLOOKUP(C21,[1]Timesheet!B:B,[1]Timesheet!BS:BS,0,,-1),0),0))</f>
        <v>23077</v>
      </c>
      <c r="AE21" s="99">
        <f t="shared" si="9"/>
        <v>0</v>
      </c>
      <c r="AF21" s="99">
        <f>ROUND(IF(Y21&gt;=8,T21,(T21/$J$3)*(Y21+_xlfn.XLOOKUP(C21,[1]Timesheet!B:B,[1]Timesheet!BS:BS,0))),0)</f>
        <v>0</v>
      </c>
      <c r="AG21" s="99">
        <f>ROUND(IF(Y21&gt;=8,U21,(U21/$J$3)*(Y21+_xlfn.XLOOKUP(C21,[1]Timesheet!B:B,[1]Timesheet!BS:BS,0))),0)</f>
        <v>0</v>
      </c>
      <c r="AH21" s="99">
        <f>ROUND(IF(OR(CR21&gt;0,Y21&lt;8),(V21/$J$3)*(Y21+_xlfn.XLOOKUP(C21,[1]Timesheet!B:B,[1]Timesheet!BS:BS,0)),V21),0)</f>
        <v>0</v>
      </c>
      <c r="AI21" s="99">
        <f t="shared" si="10"/>
        <v>0</v>
      </c>
      <c r="AJ21" s="99">
        <f>IF(Y21&gt;0,ROUND(IF(LEN(CR21)&gt;2,(X21/$J$3)*(Y21+_xlfn.XLOOKUP(C21,[1]Timesheet!B:B,[1]Timesheet!BS:BS,0)),X21),0),0)</f>
        <v>0</v>
      </c>
      <c r="AK21" s="98">
        <f>_xlfn.XLOOKUP(C21,[1]Overtime!$B$7:$B$557,[1]Overtime!$AN$7:$AN$557,0)</f>
        <v>0</v>
      </c>
      <c r="AL21" s="99">
        <f>ROUND(((SUM(N21:P21)+SUM(T21:X21))/($J$3*8))*_xlfn.XLOOKUP(C21,[1]Overtime!$B$9:$B$557,[1]Overtime!$AU$9:$AU$557,0),0)</f>
        <v>0</v>
      </c>
      <c r="AM21" s="99">
        <f>ROUND(((SUM(N21:P21)+SUM(T21:X21))/($J$3*8))*_xlfn.XLOOKUP(C21,[1]Overtime!$B$9:$B$557,[1]Overtime!$AY$9:$AY$557,0),0)</f>
        <v>0</v>
      </c>
      <c r="AN21" s="99">
        <f t="shared" si="11"/>
        <v>0</v>
      </c>
      <c r="AO21" s="99"/>
      <c r="AP21" s="99"/>
      <c r="AQ21" s="99"/>
      <c r="AR21" s="99">
        <f>ROUND(_xlfn.XLOOKUP(C21,[1]Timesheet!$B$9:$B$458,[1]Timesheet!$BQ$9:$BQ$458,,,-1)*SUM(Salary!N21:P21,Salary!T21:X21)*20%/Salary!$J$3,0)</f>
        <v>0</v>
      </c>
      <c r="AS21" s="99">
        <v>0</v>
      </c>
      <c r="AT21" s="99">
        <v>0</v>
      </c>
      <c r="AU21" s="99"/>
      <c r="AV21" s="99">
        <f>IF(CV21="x",IF(IF(CR21&gt;0,$CW$3-_xlfn.XLOOKUP(C21,[1]Timesheet!B:B,[1]Timesheet!BW:BW,0,,-1),$CW$3-_xlfn.XLOOKUP(C21,[1]Timesheet!B:B,[1]Timesheet!BW:BW,0,,-1)-$EB$3)&lt;14,ROUND(L21*20.5%+M21*1%,0),0),0)</f>
        <v>0</v>
      </c>
      <c r="AW21" s="99">
        <f t="shared" si="12"/>
        <v>0</v>
      </c>
      <c r="AX21" s="99">
        <f t="shared" si="13"/>
        <v>0</v>
      </c>
      <c r="AY21" s="99"/>
      <c r="AZ21" s="99">
        <v>0</v>
      </c>
      <c r="BA21" s="99"/>
      <c r="BB21" s="99"/>
      <c r="BC21" s="99"/>
      <c r="BD21" s="99"/>
      <c r="BE21" s="99">
        <f t="shared" si="14"/>
        <v>446154</v>
      </c>
      <c r="BF21" s="99">
        <f t="shared" si="55"/>
        <v>0</v>
      </c>
      <c r="BG21" s="97">
        <v>0</v>
      </c>
      <c r="BH21" s="99"/>
      <c r="BI21" s="99"/>
      <c r="BJ21" s="99">
        <f t="shared" si="16"/>
        <v>0</v>
      </c>
      <c r="BK21" s="99">
        <f t="shared" si="17"/>
        <v>0</v>
      </c>
      <c r="BL21" s="99">
        <f t="shared" si="18"/>
        <v>446154</v>
      </c>
      <c r="BM21" s="99">
        <f t="shared" si="19"/>
        <v>446154</v>
      </c>
      <c r="BN21" s="99">
        <f t="shared" si="20"/>
        <v>0</v>
      </c>
      <c r="BO21" s="99">
        <f t="shared" si="21"/>
        <v>0</v>
      </c>
      <c r="BP21" s="99">
        <f t="shared" si="22"/>
        <v>0</v>
      </c>
      <c r="BQ21" s="99">
        <f t="shared" si="23"/>
        <v>0</v>
      </c>
      <c r="BR21" s="99">
        <f t="shared" si="24"/>
        <v>0</v>
      </c>
      <c r="BS21" s="99">
        <f t="shared" si="25"/>
        <v>0</v>
      </c>
      <c r="BT21" s="99"/>
      <c r="BU21" s="99"/>
      <c r="BV21" s="99"/>
      <c r="BW21" s="99">
        <v>0</v>
      </c>
      <c r="BX21" s="99"/>
      <c r="BY21" s="99"/>
      <c r="BZ21" s="99"/>
      <c r="CA21" s="99"/>
      <c r="CB21" s="99"/>
      <c r="CC21" s="99"/>
      <c r="CD21" s="99"/>
      <c r="CE21" s="99"/>
      <c r="CF21" s="99"/>
      <c r="CG21" s="99">
        <f t="shared" si="26"/>
        <v>446154</v>
      </c>
      <c r="CH21" s="99">
        <f t="shared" si="27"/>
        <v>446154</v>
      </c>
      <c r="CI21" s="99">
        <f t="shared" si="28"/>
        <v>0</v>
      </c>
      <c r="CJ21" s="100"/>
      <c r="CK21" s="101">
        <f t="shared" si="29"/>
        <v>0</v>
      </c>
      <c r="CL21" s="102"/>
      <c r="CM21" s="96">
        <f t="shared" si="30"/>
        <v>0</v>
      </c>
      <c r="CN21" s="101"/>
      <c r="CO21" s="101">
        <f t="shared" si="31"/>
        <v>0</v>
      </c>
      <c r="CP21" s="103">
        <v>46199</v>
      </c>
      <c r="CQ21" s="103">
        <v>46229</v>
      </c>
      <c r="CR21" s="104">
        <v>46205</v>
      </c>
      <c r="CS21" s="103">
        <v>0</v>
      </c>
      <c r="CT21" s="103">
        <v>0</v>
      </c>
      <c r="CU21" s="101"/>
      <c r="CV21" s="103" t="s">
        <v>226</v>
      </c>
      <c r="CW21" s="103" t="s">
        <v>226</v>
      </c>
      <c r="CX21" s="105"/>
      <c r="CY21" s="105"/>
      <c r="CZ21" s="105"/>
      <c r="DA21" s="99"/>
      <c r="DB21" s="106"/>
      <c r="DC21" s="106">
        <f>_xlfn.XLOOKUP(C21,[1]Overtime!$B$8:$B$2327,[1]Overtime!$BA$8:$BA$2327,"",,-1)</f>
        <v>0</v>
      </c>
      <c r="DD21" s="106">
        <f>_xlfn.XLOOKUP(C21,[1]Timesheet!$B$9:$B$2328,[1]Timesheet!$BS$9:$BS$2328,0,,-1)</f>
        <v>0</v>
      </c>
      <c r="DE21" s="106">
        <f>_xlfn.XLOOKUP(C21,[1]Timesheet!$B$7:$B$616,[1]Timesheet!$BK$7:$BK$616,0)+_xlfn.XLOOKUP(C21,[1]Timesheet!$B$7:$B$616,[1]Timesheet!$AV$7:$AV$616,0)-_xlfn.XLOOKUP(C21,[1]Timesheet!$B$7:$B$616,[1]Timesheet!$AX$7:$AX$616,0)+_xlfn.XLOOKUP(C21,[1]Timesheet!$B$7:$B$616,[1]Timesheet!$AW$7:$AW$616,0)-_xlfn.XLOOKUP(C21,[1]Timesheet!$B$7:$B$616,[1]Timesheet!$AY$7:$AY$616,0)</f>
        <v>0</v>
      </c>
      <c r="DF21" s="106">
        <f t="shared" si="32"/>
        <v>0</v>
      </c>
      <c r="DG21" s="106">
        <f>_xlfn.XLOOKUP(C21,[1]Timesheet!$B$7:$B$616,[1]Timesheet!$BV$7:$BV$616,0)+_xlfn.XLOOKUP(C21,[1]Timesheet!$B$7:$B$616,[1]Timesheet!$AX$7:$AX$616,0)++_xlfn.XLOOKUP(C21,[1]Timesheet!$B$7:$B$616,[1]Timesheet!$AY$7:$AY$616,0)</f>
        <v>3</v>
      </c>
      <c r="DH21" s="106">
        <f t="shared" si="33"/>
        <v>-1000000</v>
      </c>
      <c r="DI21" s="106">
        <f>_xlfn.XLOOKUP(C21,[1]Timesheet!$B$7:$B$616,[1]Timesheet!$AZ$7:$AZ$616,0)+_xlfn.XLOOKUP(C21,[1]Timesheet!$B$7:$B$616,[1]Timesheet!$BA$7:$BA$616,0)</f>
        <v>0</v>
      </c>
      <c r="DJ21" s="106">
        <f>IF(CW21="x",IF((ROUND(Y21*W21/$J$3,0))&lt;0,0,ROUND(Y21*W21/$J$3,0)),IF(OR(CR21&gt;0,CS21&gt;0,CT21&gt;0),W21/$J$3*(Y21+_xlfn.XLOOKUP(C21,[1]Timesheet!B:B,[1]Timesheet!BS:BS,0,,-1)+_xlfn.XLOOKUP(C21,[1]Timesheet!B:B,[1]Timesheet!BU:BU,0,,-1)),IF(OR(DH21&lt;0,DF21&lt;0),IF(DI21&gt;0,W21/$J$3*($J$3-DI21),W21),W21/$J$3*(Y21+_xlfn.XLOOKUP(C21,[1]Timesheet!B:B,[1]Timesheet!BS:BS,0,,-1)+_xlfn.XLOOKUP(C21,[1]Timesheet!B:B,[1]Timesheet!BU:BU,0,,-1)))))</f>
        <v>76923</v>
      </c>
      <c r="DK21" s="106">
        <f t="shared" si="34"/>
        <v>-1000000</v>
      </c>
      <c r="DL21" s="106">
        <f>_xlfn.XLOOKUP(C21,[1]Timesheet!$B$7:$B$565,[1]Timesheet!$BB$7:$BB$565,0)</f>
        <v>0</v>
      </c>
      <c r="DM21" s="106">
        <f>_xlfn.XLOOKUP(C21,[1]Timesheet!$B$7:$B$565,[1]Timesheet!$BC$7:$BC$565,0)</f>
        <v>0</v>
      </c>
      <c r="DN21" s="106">
        <f>_xlfn.XLOOKUP(C21,[1]Timesheet!$B$7:$B$565,[1]Timesheet!$BF$7:$BF$565,0)</f>
        <v>0</v>
      </c>
      <c r="DO21" s="106">
        <f>_xlfn.XLOOKUP(C21,[1]Timesheet!$B$7:$B$565,[1]Timesheet!$BJ$7:$BJ$565,0)</f>
        <v>1</v>
      </c>
      <c r="DP21" s="106">
        <f t="shared" si="35"/>
        <v>1</v>
      </c>
      <c r="DQ21" s="106">
        <f>_xlfn.XLOOKUP(C21,[1]Timesheet!$B$7:$B$565,[1]Timesheet!$BT$7:$BT$565,0)</f>
        <v>21</v>
      </c>
      <c r="DR21" s="106">
        <f>_xlfn.XLOOKUP(C21,[1]Timesheet!$B$7:$B$565,[1]Timesheet!$BM$7:$BM$565,0)</f>
        <v>0</v>
      </c>
      <c r="DS21" s="106">
        <f t="shared" si="36"/>
        <v>0</v>
      </c>
      <c r="DT21" s="106">
        <f t="shared" si="37"/>
        <v>0</v>
      </c>
      <c r="DU21" s="106">
        <f t="shared" si="38"/>
        <v>0</v>
      </c>
      <c r="DV21" s="106">
        <f t="shared" si="39"/>
        <v>0</v>
      </c>
      <c r="DW21" s="106">
        <f t="shared" si="40"/>
        <v>0</v>
      </c>
      <c r="DX21" s="106">
        <f t="shared" si="41"/>
        <v>6800000</v>
      </c>
      <c r="DY21" s="106">
        <f t="shared" si="42"/>
        <v>600000</v>
      </c>
      <c r="DZ21" s="106">
        <f t="shared" si="43"/>
        <v>1000000</v>
      </c>
      <c r="EA21" s="106">
        <f>_xlfn.XLOOKUP(C21,[1]Timesheet!$B$7:$B$565,[1]Timesheet!$BI$7:$BI$565,0)</f>
        <v>3</v>
      </c>
      <c r="EB21" s="106">
        <f t="shared" si="44"/>
        <v>0</v>
      </c>
      <c r="EC21" s="106">
        <f t="shared" si="45"/>
        <v>0</v>
      </c>
      <c r="ED21" s="106">
        <f t="shared" si="46"/>
        <v>0</v>
      </c>
      <c r="EE21" s="106">
        <f t="shared" si="47"/>
        <v>0</v>
      </c>
      <c r="EF21" s="99">
        <f>ROUND((SUM(N21:P21)+W21+X21+T21+U21+V21)/($J$3*8)*_xlfn.XLOOKUP(C21,[1]Overtime!$B$9:$B$557,[1]Overtime!$AU$9:$AU$557,0),0)</f>
        <v>0</v>
      </c>
      <c r="EG21" s="99">
        <f>ROUND(((SUM(N21:P21)+W21+X21+T21+U21+V21)/($J$3*8))*_xlfn.XLOOKUP(C21,[1]Overtime!$B$9:$B$557,[1]Overtime!$AY$9:$AY$557,0),0)</f>
        <v>0</v>
      </c>
      <c r="EH21" s="99">
        <f t="shared" si="48"/>
        <v>0</v>
      </c>
      <c r="EI21" s="99">
        <f t="shared" si="49"/>
        <v>0</v>
      </c>
      <c r="EJ21" s="99">
        <f t="shared" si="49"/>
        <v>0</v>
      </c>
      <c r="EK21" s="99">
        <f>ROUND((SUM(N21:P21)+W21+X21+T21+U21+V21)/($J$3*8)*_xlfn.XLOOKUP(C21,[1]Overtime!$B$9:$B$557,[1]Overtime!$AO$9:$AO$557,0)*1.5,0)</f>
        <v>0</v>
      </c>
      <c r="EL21" s="99">
        <f>ROUND((SUM(N21:P21)+W21+X21+T21+U21+V21)/($J$3*8)*_xlfn.XLOOKUP(C21,[1]Overtime!$B$9:$B$557,[1]Overtime!$AP$9:$AP$557,0)*2,0)</f>
        <v>0</v>
      </c>
      <c r="EM21" s="99">
        <f t="shared" si="50"/>
        <v>0</v>
      </c>
      <c r="EN21" s="99">
        <f t="shared" si="51"/>
        <v>76923</v>
      </c>
      <c r="EO21" s="99">
        <f t="shared" si="52"/>
        <v>0</v>
      </c>
      <c r="EP21" s="99">
        <f t="shared" si="53"/>
        <v>0</v>
      </c>
      <c r="EQ21" s="87">
        <v>0</v>
      </c>
      <c r="ER21" s="87">
        <f t="shared" si="54"/>
        <v>0</v>
      </c>
      <c r="ET21" s="87"/>
      <c r="EU21" s="88"/>
      <c r="EV21" s="87"/>
    </row>
    <row r="22" spans="1:152" s="107" customFormat="1" ht="27.75" customHeight="1" x14ac:dyDescent="0.25">
      <c r="A22" s="89"/>
      <c r="B22" s="90">
        <f t="shared" si="56"/>
        <v>13</v>
      </c>
      <c r="C22" s="91" t="s">
        <v>252</v>
      </c>
      <c r="D22" s="92" t="s">
        <v>253</v>
      </c>
      <c r="E22" s="92" t="str">
        <f t="shared" si="3"/>
        <v>Probation</v>
      </c>
      <c r="F22" s="93">
        <f t="shared" si="4"/>
        <v>0</v>
      </c>
      <c r="G22" s="92" t="s">
        <v>254</v>
      </c>
      <c r="H22" s="91" t="s">
        <v>220</v>
      </c>
      <c r="I22" s="94" t="s">
        <v>254</v>
      </c>
      <c r="J22" s="95" t="s">
        <v>255</v>
      </c>
      <c r="K22" s="95" t="s">
        <v>256</v>
      </c>
      <c r="L22" s="96">
        <f t="shared" si="5"/>
        <v>6500000</v>
      </c>
      <c r="M22" s="97">
        <f t="shared" si="6"/>
        <v>6500000</v>
      </c>
      <c r="N22" s="97">
        <v>4500000</v>
      </c>
      <c r="O22" s="97">
        <v>800000</v>
      </c>
      <c r="P22" s="97">
        <v>0</v>
      </c>
      <c r="Q22" s="97">
        <v>0</v>
      </c>
      <c r="R22" s="97">
        <v>300000</v>
      </c>
      <c r="S22" s="97">
        <v>0</v>
      </c>
      <c r="T22" s="97">
        <v>0</v>
      </c>
      <c r="U22" s="97">
        <v>0</v>
      </c>
      <c r="V22" s="97">
        <v>200000</v>
      </c>
      <c r="W22" s="97">
        <v>1000000</v>
      </c>
      <c r="X22" s="97">
        <v>0</v>
      </c>
      <c r="Y22" s="98">
        <f>_xlfn.XLOOKUP(C22,[1]Timesheet!$B$9:$B$25,[1]Timesheet!$AO$9:$AO$25,0,,1)</f>
        <v>3.5</v>
      </c>
      <c r="Z22" s="99">
        <f t="shared" si="7"/>
        <v>605769</v>
      </c>
      <c r="AA22" s="99">
        <f>ROUND(O22/$J$3*(Y22+_xlfn.XLOOKUP(C22,[1]Timesheet!B:B,[1]Timesheet!BS:BS,0)),0)</f>
        <v>107692</v>
      </c>
      <c r="AB22" s="99">
        <f>ROUND(IF(Y22&gt;=8,P22,(P22/$J$3)*(Y22+_xlfn.XLOOKUP(C22,[1]Timesheet!B:B,[1]Timesheet!BS:BS,0))),0)</f>
        <v>0</v>
      </c>
      <c r="AC22" s="99">
        <f t="shared" si="8"/>
        <v>0</v>
      </c>
      <c r="AD22" s="99">
        <f>IF(_xlfn.XLOOKUP(Salary!C22,[1]Bus!B:B,[1]Bus!G:G,"",,-1)=1,0,ROUND((R22/$J$3)*ROUND(Y22+_xlfn.XLOOKUP(C22,[1]Timesheet!B:B,[1]Timesheet!BS:BS,0,,-1),0),0))</f>
        <v>46154</v>
      </c>
      <c r="AE22" s="99">
        <f t="shared" si="9"/>
        <v>0</v>
      </c>
      <c r="AF22" s="99">
        <f>ROUND(IF(Y22&gt;=8,T22,(T22/$J$3)*(Y22+_xlfn.XLOOKUP(C22,[1]Timesheet!B:B,[1]Timesheet!BS:BS,0))),0)</f>
        <v>0</v>
      </c>
      <c r="AG22" s="99">
        <f>ROUND(IF(Y22&gt;=8,U22,(U22/$J$3)*(Y22+_xlfn.XLOOKUP(C22,[1]Timesheet!B:B,[1]Timesheet!BS:BS,0))),0)</f>
        <v>0</v>
      </c>
      <c r="AH22" s="99">
        <f>ROUND(IF(OR(CR22&gt;0,Y22&lt;8),(V22/$J$3)*(Y22+_xlfn.XLOOKUP(C22,[1]Timesheet!B:B,[1]Timesheet!BS:BS,0)),V22),0)</f>
        <v>26923</v>
      </c>
      <c r="AI22" s="99">
        <f t="shared" si="10"/>
        <v>0</v>
      </c>
      <c r="AJ22" s="99">
        <f>IF(Y22&gt;0,ROUND(IF(LEN(CR22)&gt;2,(X22/$J$3)*(Y22+_xlfn.XLOOKUP(C22,[1]Timesheet!B:B,[1]Timesheet!BS:BS,0)),X22),0),0)</f>
        <v>0</v>
      </c>
      <c r="AK22" s="98">
        <f>_xlfn.XLOOKUP(C22,[1]Overtime!$B$7:$B$557,[1]Overtime!$AN$7:$AN$557,0)</f>
        <v>0</v>
      </c>
      <c r="AL22" s="99">
        <f>ROUND(((SUM(N22:P22)+SUM(T22:X22))/($J$3*8))*_xlfn.XLOOKUP(C22,[1]Overtime!$B$9:$B$557,[1]Overtime!$AU$9:$AU$557,0),0)</f>
        <v>0</v>
      </c>
      <c r="AM22" s="99">
        <f>ROUND(((SUM(N22:P22)+SUM(T22:X22))/($J$3*8))*_xlfn.XLOOKUP(C22,[1]Overtime!$B$9:$B$557,[1]Overtime!$AY$9:$AY$557,0),0)</f>
        <v>0</v>
      </c>
      <c r="AN22" s="99">
        <f t="shared" si="11"/>
        <v>0</v>
      </c>
      <c r="AO22" s="99"/>
      <c r="AP22" s="99"/>
      <c r="AQ22" s="99"/>
      <c r="AR22" s="99">
        <f>ROUND(_xlfn.XLOOKUP(C22,[1]Timesheet!$B$9:$B$458,[1]Timesheet!$BQ$9:$BQ$458,,,-1)*SUM(Salary!N22:P22,Salary!T22:X22)*20%/Salary!$J$3,0)</f>
        <v>0</v>
      </c>
      <c r="AS22" s="99">
        <v>0</v>
      </c>
      <c r="AT22" s="99">
        <v>0</v>
      </c>
      <c r="AU22" s="99"/>
      <c r="AV22" s="99">
        <f>IF(CV22="x",IF(IF(CR22&gt;0,$CW$3-_xlfn.XLOOKUP(C22,[1]Timesheet!B:B,[1]Timesheet!BW:BW,0,,-1),$CW$3-_xlfn.XLOOKUP(C22,[1]Timesheet!B:B,[1]Timesheet!BW:BW,0,,-1)-$EB$3)&lt;14,ROUND(L22*20.5%+M22*1%,0),0),0)</f>
        <v>0</v>
      </c>
      <c r="AW22" s="99">
        <f t="shared" si="12"/>
        <v>0</v>
      </c>
      <c r="AX22" s="99">
        <f t="shared" si="13"/>
        <v>0</v>
      </c>
      <c r="AY22" s="99"/>
      <c r="AZ22" s="99">
        <v>0</v>
      </c>
      <c r="BA22" s="99"/>
      <c r="BB22" s="99"/>
      <c r="BC22" s="99"/>
      <c r="BD22" s="99"/>
      <c r="BE22" s="99">
        <f t="shared" si="14"/>
        <v>786538</v>
      </c>
      <c r="BF22" s="99">
        <f t="shared" si="55"/>
        <v>0</v>
      </c>
      <c r="BG22" s="97">
        <v>0</v>
      </c>
      <c r="BH22" s="99"/>
      <c r="BI22" s="99"/>
      <c r="BJ22" s="99">
        <f t="shared" si="16"/>
        <v>0</v>
      </c>
      <c r="BK22" s="99">
        <f t="shared" si="17"/>
        <v>0</v>
      </c>
      <c r="BL22" s="99">
        <f t="shared" si="18"/>
        <v>786538</v>
      </c>
      <c r="BM22" s="99">
        <f t="shared" si="19"/>
        <v>786538</v>
      </c>
      <c r="BN22" s="99">
        <f t="shared" si="20"/>
        <v>0</v>
      </c>
      <c r="BO22" s="99">
        <f t="shared" si="21"/>
        <v>0</v>
      </c>
      <c r="BP22" s="99">
        <f t="shared" si="22"/>
        <v>0</v>
      </c>
      <c r="BQ22" s="99">
        <f t="shared" si="23"/>
        <v>0</v>
      </c>
      <c r="BR22" s="99">
        <f t="shared" si="24"/>
        <v>0</v>
      </c>
      <c r="BS22" s="99">
        <f t="shared" si="25"/>
        <v>0</v>
      </c>
      <c r="BT22" s="99"/>
      <c r="BU22" s="99"/>
      <c r="BV22" s="99"/>
      <c r="BW22" s="99">
        <v>0</v>
      </c>
      <c r="BX22" s="99"/>
      <c r="BY22" s="99"/>
      <c r="BZ22" s="99"/>
      <c r="CA22" s="99"/>
      <c r="CB22" s="99"/>
      <c r="CC22" s="99"/>
      <c r="CD22" s="99"/>
      <c r="CE22" s="99"/>
      <c r="CF22" s="99"/>
      <c r="CG22" s="99">
        <f t="shared" si="26"/>
        <v>786538</v>
      </c>
      <c r="CH22" s="99">
        <f t="shared" si="27"/>
        <v>786538</v>
      </c>
      <c r="CI22" s="99">
        <f t="shared" si="28"/>
        <v>0</v>
      </c>
      <c r="CJ22" s="100"/>
      <c r="CK22" s="101">
        <f t="shared" si="29"/>
        <v>0</v>
      </c>
      <c r="CL22" s="102"/>
      <c r="CM22" s="96">
        <f t="shared" si="30"/>
        <v>0</v>
      </c>
      <c r="CN22" s="101"/>
      <c r="CO22" s="101">
        <f t="shared" si="31"/>
        <v>0</v>
      </c>
      <c r="CP22" s="103">
        <v>46199</v>
      </c>
      <c r="CQ22" s="103">
        <v>46229</v>
      </c>
      <c r="CR22" s="104">
        <v>46204</v>
      </c>
      <c r="CS22" s="103">
        <v>0</v>
      </c>
      <c r="CT22" s="103">
        <v>0</v>
      </c>
      <c r="CU22" s="101"/>
      <c r="CV22" s="103" t="s">
        <v>226</v>
      </c>
      <c r="CW22" s="103" t="s">
        <v>226</v>
      </c>
      <c r="CX22" s="105"/>
      <c r="CY22" s="105"/>
      <c r="CZ22" s="105"/>
      <c r="DA22" s="99"/>
      <c r="DB22" s="106"/>
      <c r="DC22" s="106">
        <f>_xlfn.XLOOKUP(C22,[1]Overtime!$B$8:$B$2327,[1]Overtime!$BA$8:$BA$2327,"",,-1)</f>
        <v>0</v>
      </c>
      <c r="DD22" s="106">
        <f>_xlfn.XLOOKUP(C22,[1]Timesheet!$B$9:$B$2328,[1]Timesheet!$BS$9:$BS$2328,0,,-1)</f>
        <v>0</v>
      </c>
      <c r="DE22" s="106">
        <f>_xlfn.XLOOKUP(C22,[1]Timesheet!$B$7:$B$616,[1]Timesheet!$BK$7:$BK$616,0)+_xlfn.XLOOKUP(C22,[1]Timesheet!$B$7:$B$616,[1]Timesheet!$AV$7:$AV$616,0)-_xlfn.XLOOKUP(C22,[1]Timesheet!$B$7:$B$616,[1]Timesheet!$AX$7:$AX$616,0)+_xlfn.XLOOKUP(C22,[1]Timesheet!$B$7:$B$616,[1]Timesheet!$AW$7:$AW$616,0)-_xlfn.XLOOKUP(C22,[1]Timesheet!$B$7:$B$616,[1]Timesheet!$AY$7:$AY$616,0)</f>
        <v>1</v>
      </c>
      <c r="DF22" s="106">
        <f t="shared" si="32"/>
        <v>-100000</v>
      </c>
      <c r="DG22" s="106">
        <f>_xlfn.XLOOKUP(C22,[1]Timesheet!$B$7:$B$616,[1]Timesheet!$BV$7:$BV$616,0)+_xlfn.XLOOKUP(C22,[1]Timesheet!$B$7:$B$616,[1]Timesheet!$AX$7:$AX$616,0)++_xlfn.XLOOKUP(C22,[1]Timesheet!$B$7:$B$616,[1]Timesheet!$AY$7:$AY$616,0)</f>
        <v>0</v>
      </c>
      <c r="DH22" s="106">
        <f t="shared" si="33"/>
        <v>0</v>
      </c>
      <c r="DI22" s="106">
        <f>_xlfn.XLOOKUP(C22,[1]Timesheet!$B$7:$B$616,[1]Timesheet!$AZ$7:$AZ$616,0)+_xlfn.XLOOKUP(C22,[1]Timesheet!$B$7:$B$616,[1]Timesheet!$BA$7:$BA$616,0)</f>
        <v>0</v>
      </c>
      <c r="DJ22" s="106">
        <f>IF(CW22="x",IF((ROUND(Y22*W22/$J$3,0))&lt;0,0,ROUND(Y22*W22/$J$3,0)),IF(OR(CR22&gt;0,CS22&gt;0,CT22&gt;0),W22/$J$3*(Y22+_xlfn.XLOOKUP(C22,[1]Timesheet!B:B,[1]Timesheet!BS:BS,0,,-1)+_xlfn.XLOOKUP(C22,[1]Timesheet!B:B,[1]Timesheet!BU:BU,0,,-1)),IF(OR(DH22&lt;0,DF22&lt;0),IF(DI22&gt;0,W22/$J$3*($J$3-DI22),W22),W22/$J$3*(Y22+_xlfn.XLOOKUP(C22,[1]Timesheet!B:B,[1]Timesheet!BS:BS,0,,-1)+_xlfn.XLOOKUP(C22,[1]Timesheet!B:B,[1]Timesheet!BU:BU,0,,-1)))))</f>
        <v>134615</v>
      </c>
      <c r="DK22" s="106">
        <f t="shared" si="34"/>
        <v>-100000</v>
      </c>
      <c r="DL22" s="106">
        <f>_xlfn.XLOOKUP(C22,[1]Timesheet!$B$7:$B$565,[1]Timesheet!$BB$7:$BB$565,0)</f>
        <v>0</v>
      </c>
      <c r="DM22" s="106">
        <f>_xlfn.XLOOKUP(C22,[1]Timesheet!$B$7:$B$565,[1]Timesheet!$BC$7:$BC$565,0)</f>
        <v>0</v>
      </c>
      <c r="DN22" s="106">
        <f>_xlfn.XLOOKUP(C22,[1]Timesheet!$B$7:$B$565,[1]Timesheet!$BF$7:$BF$565,0)</f>
        <v>0</v>
      </c>
      <c r="DO22" s="106">
        <f>_xlfn.XLOOKUP(C22,[1]Timesheet!$B$7:$B$565,[1]Timesheet!$BJ$7:$BJ$565,0)</f>
        <v>0</v>
      </c>
      <c r="DP22" s="106">
        <f t="shared" si="35"/>
        <v>0</v>
      </c>
      <c r="DQ22" s="106">
        <f>_xlfn.XLOOKUP(C22,[1]Timesheet!$B$7:$B$565,[1]Timesheet!$BT$7:$BT$565,0)</f>
        <v>21</v>
      </c>
      <c r="DR22" s="106">
        <f>_xlfn.XLOOKUP(C22,[1]Timesheet!$B$7:$B$565,[1]Timesheet!$BM$7:$BM$565,0)</f>
        <v>0</v>
      </c>
      <c r="DS22" s="106">
        <f t="shared" si="36"/>
        <v>0</v>
      </c>
      <c r="DT22" s="106">
        <f t="shared" si="37"/>
        <v>0</v>
      </c>
      <c r="DU22" s="106">
        <f t="shared" si="38"/>
        <v>0</v>
      </c>
      <c r="DV22" s="106">
        <f t="shared" si="39"/>
        <v>0</v>
      </c>
      <c r="DW22" s="106">
        <f t="shared" si="40"/>
        <v>0</v>
      </c>
      <c r="DX22" s="106">
        <f t="shared" si="41"/>
        <v>6800000</v>
      </c>
      <c r="DY22" s="106">
        <f t="shared" si="42"/>
        <v>1100000</v>
      </c>
      <c r="DZ22" s="106">
        <f t="shared" si="43"/>
        <v>1000000</v>
      </c>
      <c r="EA22" s="106">
        <f>_xlfn.XLOOKUP(C22,[1]Timesheet!$B$7:$B$565,[1]Timesheet!$BI$7:$BI$565,0)</f>
        <v>0</v>
      </c>
      <c r="EB22" s="106">
        <f t="shared" si="44"/>
        <v>0</v>
      </c>
      <c r="EC22" s="106">
        <f t="shared" si="45"/>
        <v>0</v>
      </c>
      <c r="ED22" s="106">
        <f t="shared" si="46"/>
        <v>0</v>
      </c>
      <c r="EE22" s="106">
        <f t="shared" si="47"/>
        <v>0</v>
      </c>
      <c r="EF22" s="99">
        <f>ROUND((SUM(N22:P22)+W22+X22+T22+U22+V22)/($J$3*8)*_xlfn.XLOOKUP(C22,[1]Overtime!$B$9:$B$557,[1]Overtime!$AU$9:$AU$557,0),0)</f>
        <v>0</v>
      </c>
      <c r="EG22" s="99">
        <f>ROUND(((SUM(N22:P22)+W22+X22+T22+U22+V22)/($J$3*8))*_xlfn.XLOOKUP(C22,[1]Overtime!$B$9:$B$557,[1]Overtime!$AY$9:$AY$557,0),0)</f>
        <v>0</v>
      </c>
      <c r="EH22" s="99">
        <f t="shared" si="48"/>
        <v>0</v>
      </c>
      <c r="EI22" s="99">
        <f t="shared" si="49"/>
        <v>0</v>
      </c>
      <c r="EJ22" s="99">
        <f t="shared" si="49"/>
        <v>0</v>
      </c>
      <c r="EK22" s="99">
        <f>ROUND((SUM(N22:P22)+W22+X22+T22+U22+V22)/($J$3*8)*_xlfn.XLOOKUP(C22,[1]Overtime!$B$9:$B$557,[1]Overtime!$AO$9:$AO$557,0)*1.5,0)</f>
        <v>0</v>
      </c>
      <c r="EL22" s="99">
        <f>ROUND((SUM(N22:P22)+W22+X22+T22+U22+V22)/($J$3*8)*_xlfn.XLOOKUP(C22,[1]Overtime!$B$9:$B$557,[1]Overtime!$AP$9:$AP$557,0)*2,0)</f>
        <v>0</v>
      </c>
      <c r="EM22" s="99">
        <f t="shared" si="50"/>
        <v>0</v>
      </c>
      <c r="EN22" s="99">
        <f t="shared" si="51"/>
        <v>134615</v>
      </c>
      <c r="EO22" s="99">
        <f t="shared" si="52"/>
        <v>0</v>
      </c>
      <c r="EP22" s="99">
        <f t="shared" si="53"/>
        <v>0</v>
      </c>
      <c r="EQ22" s="87">
        <v>0</v>
      </c>
      <c r="ER22" s="87">
        <f t="shared" si="54"/>
        <v>0</v>
      </c>
      <c r="ET22" s="87"/>
      <c r="EU22" s="88"/>
      <c r="EV22" s="87"/>
    </row>
    <row r="23" spans="1:152" s="107" customFormat="1" ht="27.75" customHeight="1" x14ac:dyDescent="0.25">
      <c r="A23" s="89"/>
      <c r="B23" s="90">
        <f t="shared" si="56"/>
        <v>14</v>
      </c>
      <c r="C23" s="91" t="s">
        <v>257</v>
      </c>
      <c r="D23" s="92" t="s">
        <v>258</v>
      </c>
      <c r="E23" s="92" t="str">
        <f t="shared" si="3"/>
        <v>Probation</v>
      </c>
      <c r="F23" s="93">
        <f t="shared" si="4"/>
        <v>0</v>
      </c>
      <c r="G23" s="92" t="s">
        <v>259</v>
      </c>
      <c r="H23" s="91" t="s">
        <v>220</v>
      </c>
      <c r="I23" s="94" t="s">
        <v>260</v>
      </c>
      <c r="J23" s="95" t="s">
        <v>260</v>
      </c>
      <c r="K23" s="95" t="s">
        <v>261</v>
      </c>
      <c r="L23" s="96">
        <f t="shared" si="5"/>
        <v>6300000</v>
      </c>
      <c r="M23" s="97">
        <f t="shared" si="6"/>
        <v>6300000</v>
      </c>
      <c r="N23" s="97">
        <v>5200000</v>
      </c>
      <c r="O23" s="97">
        <v>100000</v>
      </c>
      <c r="P23" s="97">
        <v>0</v>
      </c>
      <c r="Q23" s="97">
        <v>0</v>
      </c>
      <c r="R23" s="97">
        <v>300000</v>
      </c>
      <c r="S23" s="97">
        <v>0</v>
      </c>
      <c r="T23" s="97">
        <v>0</v>
      </c>
      <c r="U23" s="97">
        <v>0</v>
      </c>
      <c r="V23" s="97">
        <v>0</v>
      </c>
      <c r="W23" s="97">
        <v>1000000</v>
      </c>
      <c r="X23" s="97">
        <v>0</v>
      </c>
      <c r="Y23" s="98">
        <f>_xlfn.XLOOKUP(C23,[1]Timesheet!$B$9:$B$25,[1]Timesheet!$AO$9:$AO$25,0,,1)</f>
        <v>3</v>
      </c>
      <c r="Z23" s="99">
        <f t="shared" si="7"/>
        <v>600000</v>
      </c>
      <c r="AA23" s="99">
        <f>ROUND(O23/$J$3*(Y23+_xlfn.XLOOKUP(C23,[1]Timesheet!B:B,[1]Timesheet!BS:BS,0)),0)</f>
        <v>11538</v>
      </c>
      <c r="AB23" s="99">
        <f>ROUND(IF(Y23&gt;=8,P23,(P23/$J$3)*(Y23+_xlfn.XLOOKUP(C23,[1]Timesheet!B:B,[1]Timesheet!BS:BS,0))),0)</f>
        <v>0</v>
      </c>
      <c r="AC23" s="99">
        <f t="shared" si="8"/>
        <v>0</v>
      </c>
      <c r="AD23" s="99">
        <f>IF(_xlfn.XLOOKUP(Salary!C23,[1]Bus!B:B,[1]Bus!G:G,"",,-1)=1,0,ROUND((R23/$J$3)*ROUND(Y23+_xlfn.XLOOKUP(C23,[1]Timesheet!B:B,[1]Timesheet!BS:BS,0,,-1),0),0))</f>
        <v>34615</v>
      </c>
      <c r="AE23" s="99">
        <f t="shared" si="9"/>
        <v>0</v>
      </c>
      <c r="AF23" s="99">
        <f>ROUND(IF(Y23&gt;=8,T23,(T23/$J$3)*(Y23+_xlfn.XLOOKUP(C23,[1]Timesheet!B:B,[1]Timesheet!BS:BS,0))),0)</f>
        <v>0</v>
      </c>
      <c r="AG23" s="99">
        <f>ROUND(IF(Y23&gt;=8,U23,(U23/$J$3)*(Y23+_xlfn.XLOOKUP(C23,[1]Timesheet!B:B,[1]Timesheet!BS:BS,0))),0)</f>
        <v>0</v>
      </c>
      <c r="AH23" s="99">
        <f>ROUND(IF(OR(CR23&gt;0,Y23&lt;8),(V23/$J$3)*(Y23+_xlfn.XLOOKUP(C23,[1]Timesheet!B:B,[1]Timesheet!BS:BS,0)),V23),0)</f>
        <v>0</v>
      </c>
      <c r="AI23" s="99">
        <f t="shared" si="10"/>
        <v>0</v>
      </c>
      <c r="AJ23" s="99">
        <f>IF(Y23&gt;0,ROUND(IF(LEN(CR23)&gt;2,(X23/$J$3)*(Y23+_xlfn.XLOOKUP(C23,[1]Timesheet!B:B,[1]Timesheet!BS:BS,0)),X23),0),0)</f>
        <v>0</v>
      </c>
      <c r="AK23" s="98">
        <f>_xlfn.XLOOKUP(C23,[1]Overtime!$B$7:$B$557,[1]Overtime!$AN$7:$AN$557,0)</f>
        <v>0</v>
      </c>
      <c r="AL23" s="99">
        <f>ROUND(((SUM(N23:P23)+SUM(T23:X23))/($J$3*8))*_xlfn.XLOOKUP(C23,[1]Overtime!$B$9:$B$557,[1]Overtime!$AU$9:$AU$557,0),0)</f>
        <v>0</v>
      </c>
      <c r="AM23" s="99">
        <f>ROUND(((SUM(N23:P23)+SUM(T23:X23))/($J$3*8))*_xlfn.XLOOKUP(C23,[1]Overtime!$B$9:$B$557,[1]Overtime!$AY$9:$AY$557,0),0)</f>
        <v>0</v>
      </c>
      <c r="AN23" s="99">
        <f t="shared" si="11"/>
        <v>0</v>
      </c>
      <c r="AO23" s="99"/>
      <c r="AP23" s="99"/>
      <c r="AQ23" s="99"/>
      <c r="AR23" s="99">
        <f>ROUND(_xlfn.XLOOKUP(C23,[1]Timesheet!$B$9:$B$458,[1]Timesheet!$BQ$9:$BQ$458,,,-1)*SUM(Salary!N23:P23,Salary!T23:X23)*20%/Salary!$J$3,0)</f>
        <v>0</v>
      </c>
      <c r="AS23" s="99">
        <v>20000</v>
      </c>
      <c r="AT23" s="99">
        <v>0</v>
      </c>
      <c r="AU23" s="99"/>
      <c r="AV23" s="99">
        <f>IF(CV23="x",IF(IF(CR23&gt;0,$CW$3-_xlfn.XLOOKUP(C23,[1]Timesheet!B:B,[1]Timesheet!BW:BW,0,,-1),$CW$3-_xlfn.XLOOKUP(C23,[1]Timesheet!B:B,[1]Timesheet!BW:BW,0,,-1)-$EB$3)&lt;14,ROUND(L23*20.5%+M23*1%,0),0),0)</f>
        <v>0</v>
      </c>
      <c r="AW23" s="99">
        <f t="shared" si="12"/>
        <v>0</v>
      </c>
      <c r="AX23" s="99">
        <f t="shared" si="13"/>
        <v>45433</v>
      </c>
      <c r="AY23" s="99"/>
      <c r="AZ23" s="99">
        <v>0</v>
      </c>
      <c r="BA23" s="99"/>
      <c r="BB23" s="99"/>
      <c r="BC23" s="99"/>
      <c r="BD23" s="99"/>
      <c r="BE23" s="99">
        <f t="shared" si="14"/>
        <v>711586</v>
      </c>
      <c r="BF23" s="99">
        <f t="shared" si="55"/>
        <v>0</v>
      </c>
      <c r="BG23" s="97">
        <v>0</v>
      </c>
      <c r="BH23" s="99"/>
      <c r="BI23" s="99"/>
      <c r="BJ23" s="99">
        <f t="shared" si="16"/>
        <v>0</v>
      </c>
      <c r="BK23" s="99">
        <f t="shared" si="17"/>
        <v>0</v>
      </c>
      <c r="BL23" s="99">
        <f t="shared" si="18"/>
        <v>711586</v>
      </c>
      <c r="BM23" s="99">
        <f t="shared" si="19"/>
        <v>711586</v>
      </c>
      <c r="BN23" s="99">
        <f t="shared" si="20"/>
        <v>0</v>
      </c>
      <c r="BO23" s="99">
        <f t="shared" si="21"/>
        <v>0</v>
      </c>
      <c r="BP23" s="99">
        <f t="shared" si="22"/>
        <v>0</v>
      </c>
      <c r="BQ23" s="99">
        <f t="shared" si="23"/>
        <v>0</v>
      </c>
      <c r="BR23" s="99">
        <f t="shared" si="24"/>
        <v>0</v>
      </c>
      <c r="BS23" s="99">
        <f t="shared" si="25"/>
        <v>0</v>
      </c>
      <c r="BT23" s="99"/>
      <c r="BU23" s="99"/>
      <c r="BV23" s="99"/>
      <c r="BW23" s="99">
        <v>0</v>
      </c>
      <c r="BX23" s="99"/>
      <c r="BY23" s="99"/>
      <c r="BZ23" s="99"/>
      <c r="CA23" s="99"/>
      <c r="CB23" s="99"/>
      <c r="CC23" s="99"/>
      <c r="CD23" s="99"/>
      <c r="CE23" s="99"/>
      <c r="CF23" s="99"/>
      <c r="CG23" s="99">
        <f t="shared" si="26"/>
        <v>711586</v>
      </c>
      <c r="CH23" s="99">
        <f t="shared" si="27"/>
        <v>711586</v>
      </c>
      <c r="CI23" s="99">
        <f t="shared" si="28"/>
        <v>0</v>
      </c>
      <c r="CJ23" s="100"/>
      <c r="CK23" s="101">
        <f t="shared" si="29"/>
        <v>0</v>
      </c>
      <c r="CL23" s="102">
        <v>1.5</v>
      </c>
      <c r="CM23" s="96">
        <f t="shared" si="30"/>
        <v>45433</v>
      </c>
      <c r="CN23" s="101"/>
      <c r="CO23" s="101">
        <f t="shared" si="31"/>
        <v>45433</v>
      </c>
      <c r="CP23" s="103">
        <v>46203</v>
      </c>
      <c r="CQ23" s="103">
        <v>46233</v>
      </c>
      <c r="CR23" s="104">
        <v>46206</v>
      </c>
      <c r="CS23" s="103">
        <v>0</v>
      </c>
      <c r="CT23" s="103">
        <v>0</v>
      </c>
      <c r="CU23" s="101"/>
      <c r="CV23" s="103" t="s">
        <v>226</v>
      </c>
      <c r="CW23" s="103" t="s">
        <v>226</v>
      </c>
      <c r="CX23" s="105"/>
      <c r="CY23" s="105"/>
      <c r="CZ23" s="105"/>
      <c r="DA23" s="99"/>
      <c r="DB23" s="106"/>
      <c r="DC23" s="106">
        <f>_xlfn.XLOOKUP(C23,[1]Overtime!$B$8:$B$2327,[1]Overtime!$BA$8:$BA$2327,"",,-1)</f>
        <v>0</v>
      </c>
      <c r="DD23" s="106">
        <f>_xlfn.XLOOKUP(C23,[1]Timesheet!$B$9:$B$2328,[1]Timesheet!$BS$9:$BS$2328,0,,-1)</f>
        <v>0</v>
      </c>
      <c r="DE23" s="106">
        <f>_xlfn.XLOOKUP(C23,[1]Timesheet!$B$7:$B$616,[1]Timesheet!$BK$7:$BK$616,0)+_xlfn.XLOOKUP(C23,[1]Timesheet!$B$7:$B$616,[1]Timesheet!$AV$7:$AV$616,0)-_xlfn.XLOOKUP(C23,[1]Timesheet!$B$7:$B$616,[1]Timesheet!$AX$7:$AX$616,0)+_xlfn.XLOOKUP(C23,[1]Timesheet!$B$7:$B$616,[1]Timesheet!$AW$7:$AW$616,0)-_xlfn.XLOOKUP(C23,[1]Timesheet!$B$7:$B$616,[1]Timesheet!$AY$7:$AY$616,0)</f>
        <v>0</v>
      </c>
      <c r="DF23" s="106">
        <f t="shared" si="32"/>
        <v>0</v>
      </c>
      <c r="DG23" s="106">
        <f>_xlfn.XLOOKUP(C23,[1]Timesheet!$B$7:$B$616,[1]Timesheet!$BV$7:$BV$616,0)+_xlfn.XLOOKUP(C23,[1]Timesheet!$B$7:$B$616,[1]Timesheet!$AX$7:$AX$616,0)++_xlfn.XLOOKUP(C23,[1]Timesheet!$B$7:$B$616,[1]Timesheet!$AY$7:$AY$616,0)</f>
        <v>0</v>
      </c>
      <c r="DH23" s="106">
        <f t="shared" si="33"/>
        <v>0</v>
      </c>
      <c r="DI23" s="106">
        <f>_xlfn.XLOOKUP(C23,[1]Timesheet!$B$7:$B$616,[1]Timesheet!$AZ$7:$AZ$616,0)+_xlfn.XLOOKUP(C23,[1]Timesheet!$B$7:$B$616,[1]Timesheet!$BA$7:$BA$616,0)</f>
        <v>0</v>
      </c>
      <c r="DJ23" s="106">
        <f>IF(CW23="x",IF((ROUND(Y23*W23/$J$3,0))&lt;0,0,ROUND(Y23*W23/$J$3,0)),IF(OR(CR23&gt;0,CS23&gt;0,CT23&gt;0),W23/$J$3*(Y23+_xlfn.XLOOKUP(C23,[1]Timesheet!B:B,[1]Timesheet!BS:BS,0,,-1)+_xlfn.XLOOKUP(C23,[1]Timesheet!B:B,[1]Timesheet!BU:BU,0,,-1)),IF(OR(DH23&lt;0,DF23&lt;0),IF(DI23&gt;0,W23/$J$3*($J$3-DI23),W23),W23/$J$3*(Y23+_xlfn.XLOOKUP(C23,[1]Timesheet!B:B,[1]Timesheet!BS:BS,0,,-1)+_xlfn.XLOOKUP(C23,[1]Timesheet!B:B,[1]Timesheet!BU:BU,0,,-1)))))</f>
        <v>115385</v>
      </c>
      <c r="DK23" s="106">
        <f t="shared" si="34"/>
        <v>0</v>
      </c>
      <c r="DL23" s="106">
        <f>_xlfn.XLOOKUP(C23,[1]Timesheet!$B$7:$B$565,[1]Timesheet!$BB$7:$BB$565,0)</f>
        <v>0</v>
      </c>
      <c r="DM23" s="106">
        <f>_xlfn.XLOOKUP(C23,[1]Timesheet!$B$7:$B$565,[1]Timesheet!$BC$7:$BC$565,0)</f>
        <v>0</v>
      </c>
      <c r="DN23" s="106">
        <f>_xlfn.XLOOKUP(C23,[1]Timesheet!$B$7:$B$565,[1]Timesheet!$BF$7:$BF$565,0)</f>
        <v>0</v>
      </c>
      <c r="DO23" s="106">
        <f>_xlfn.XLOOKUP(C23,[1]Timesheet!$B$7:$B$565,[1]Timesheet!$BJ$7:$BJ$565,0)</f>
        <v>0</v>
      </c>
      <c r="DP23" s="106">
        <f t="shared" si="35"/>
        <v>0</v>
      </c>
      <c r="DQ23" s="106">
        <f>_xlfn.XLOOKUP(C23,[1]Timesheet!$B$7:$B$565,[1]Timesheet!$BT$7:$BT$565,0)</f>
        <v>19</v>
      </c>
      <c r="DR23" s="106">
        <f>_xlfn.XLOOKUP(C23,[1]Timesheet!$B$7:$B$565,[1]Timesheet!$BM$7:$BM$565,0)</f>
        <v>0</v>
      </c>
      <c r="DS23" s="106">
        <f t="shared" si="36"/>
        <v>0</v>
      </c>
      <c r="DT23" s="106">
        <f t="shared" si="37"/>
        <v>0</v>
      </c>
      <c r="DU23" s="106">
        <f t="shared" si="38"/>
        <v>0</v>
      </c>
      <c r="DV23" s="106">
        <f t="shared" si="39"/>
        <v>0</v>
      </c>
      <c r="DW23" s="106">
        <f t="shared" si="40"/>
        <v>0</v>
      </c>
      <c r="DX23" s="106">
        <f t="shared" si="41"/>
        <v>6600000</v>
      </c>
      <c r="DY23" s="106">
        <f t="shared" si="42"/>
        <v>400000</v>
      </c>
      <c r="DZ23" s="106">
        <f t="shared" si="43"/>
        <v>1000000</v>
      </c>
      <c r="EA23" s="106">
        <f>_xlfn.XLOOKUP(C23,[1]Timesheet!$B$7:$B$565,[1]Timesheet!$BI$7:$BI$565,0)</f>
        <v>0</v>
      </c>
      <c r="EB23" s="106">
        <f t="shared" si="44"/>
        <v>0</v>
      </c>
      <c r="EC23" s="106">
        <f t="shared" si="45"/>
        <v>0</v>
      </c>
      <c r="ED23" s="106">
        <f t="shared" si="46"/>
        <v>0</v>
      </c>
      <c r="EE23" s="106">
        <f t="shared" si="47"/>
        <v>0</v>
      </c>
      <c r="EF23" s="99">
        <f>ROUND((SUM(N23:P23)+W23+X23+T23+U23+V23)/($J$3*8)*_xlfn.XLOOKUP(C23,[1]Overtime!$B$9:$B$557,[1]Overtime!$AU$9:$AU$557,0),0)</f>
        <v>0</v>
      </c>
      <c r="EG23" s="99">
        <f>ROUND(((SUM(N23:P23)+W23+X23+T23+U23+V23)/($J$3*8))*_xlfn.XLOOKUP(C23,[1]Overtime!$B$9:$B$557,[1]Overtime!$AY$9:$AY$557,0),0)</f>
        <v>0</v>
      </c>
      <c r="EH23" s="99">
        <f t="shared" si="48"/>
        <v>0</v>
      </c>
      <c r="EI23" s="99">
        <f t="shared" si="49"/>
        <v>0</v>
      </c>
      <c r="EJ23" s="99">
        <f t="shared" si="49"/>
        <v>0</v>
      </c>
      <c r="EK23" s="99">
        <f>ROUND((SUM(N23:P23)+W23+X23+T23+U23+V23)/($J$3*8)*_xlfn.XLOOKUP(C23,[1]Overtime!$B$9:$B$557,[1]Overtime!$AO$9:$AO$557,0)*1.5,0)</f>
        <v>0</v>
      </c>
      <c r="EL23" s="99">
        <f>ROUND((SUM(N23:P23)+W23+X23+T23+U23+V23)/($J$3*8)*_xlfn.XLOOKUP(C23,[1]Overtime!$B$9:$B$557,[1]Overtime!$AP$9:$AP$557,0)*2,0)</f>
        <v>0</v>
      </c>
      <c r="EM23" s="99">
        <f t="shared" si="50"/>
        <v>0</v>
      </c>
      <c r="EN23" s="99">
        <f t="shared" si="51"/>
        <v>115385</v>
      </c>
      <c r="EO23" s="99">
        <f t="shared" si="52"/>
        <v>0</v>
      </c>
      <c r="EP23" s="99">
        <f t="shared" si="53"/>
        <v>0</v>
      </c>
      <c r="EQ23" s="87">
        <v>0</v>
      </c>
      <c r="ER23" s="87">
        <f t="shared" si="54"/>
        <v>0</v>
      </c>
      <c r="ET23" s="87"/>
      <c r="EU23" s="88"/>
      <c r="EV23" s="87"/>
    </row>
    <row r="24" spans="1:152" s="107" customFormat="1" ht="27.75" customHeight="1" x14ac:dyDescent="0.25">
      <c r="A24" s="89"/>
      <c r="B24" s="90">
        <f t="shared" si="56"/>
        <v>15</v>
      </c>
      <c r="C24" s="91" t="s">
        <v>262</v>
      </c>
      <c r="D24" s="92" t="s">
        <v>263</v>
      </c>
      <c r="E24" s="92" t="str">
        <f t="shared" si="3"/>
        <v>Probation</v>
      </c>
      <c r="F24" s="93">
        <f t="shared" si="4"/>
        <v>0</v>
      </c>
      <c r="G24" s="92" t="s">
        <v>264</v>
      </c>
      <c r="H24" s="91" t="s">
        <v>220</v>
      </c>
      <c r="I24" s="94" t="s">
        <v>265</v>
      </c>
      <c r="J24" s="95" t="s">
        <v>266</v>
      </c>
      <c r="K24" s="95" t="s">
        <v>267</v>
      </c>
      <c r="L24" s="96">
        <f t="shared" si="5"/>
        <v>9950000</v>
      </c>
      <c r="M24" s="97">
        <f t="shared" si="6"/>
        <v>9950000</v>
      </c>
      <c r="N24" s="97">
        <v>7450000</v>
      </c>
      <c r="O24" s="97">
        <v>1500000</v>
      </c>
      <c r="P24" s="97">
        <v>0</v>
      </c>
      <c r="Q24" s="97">
        <v>0</v>
      </c>
      <c r="R24" s="97">
        <v>300000</v>
      </c>
      <c r="S24" s="97">
        <v>0</v>
      </c>
      <c r="T24" s="97">
        <v>0</v>
      </c>
      <c r="U24" s="97">
        <v>0</v>
      </c>
      <c r="V24" s="97">
        <v>0</v>
      </c>
      <c r="W24" s="97">
        <v>1000000</v>
      </c>
      <c r="X24" s="97">
        <v>0</v>
      </c>
      <c r="Y24" s="98">
        <f>_xlfn.XLOOKUP(C24,[1]Timesheet!$B$9:$B$25,[1]Timesheet!$AO$9:$AO$25,0,,1)</f>
        <v>2</v>
      </c>
      <c r="Z24" s="99">
        <f t="shared" si="7"/>
        <v>573077</v>
      </c>
      <c r="AA24" s="99">
        <f>ROUND(O24/$J$3*(Y24+_xlfn.XLOOKUP(C24,[1]Timesheet!B:B,[1]Timesheet!BS:BS,0)),0)</f>
        <v>115385</v>
      </c>
      <c r="AB24" s="99">
        <f>ROUND(IF(Y24&gt;=8,P24,(P24/$J$3)*(Y24+_xlfn.XLOOKUP(C24,[1]Timesheet!B:B,[1]Timesheet!BS:BS,0))),0)</f>
        <v>0</v>
      </c>
      <c r="AC24" s="99">
        <f t="shared" si="8"/>
        <v>0</v>
      </c>
      <c r="AD24" s="99">
        <f>IF(_xlfn.XLOOKUP(Salary!C24,[1]Bus!B:B,[1]Bus!G:G,"",,-1)=1,0,ROUND((R24/$J$3)*ROUND(Y24+_xlfn.XLOOKUP(C24,[1]Timesheet!B:B,[1]Timesheet!BS:BS,0,,-1),0),0))</f>
        <v>23077</v>
      </c>
      <c r="AE24" s="99">
        <f t="shared" si="9"/>
        <v>0</v>
      </c>
      <c r="AF24" s="99">
        <f>ROUND(IF(Y24&gt;=8,T24,(T24/$J$3)*(Y24+_xlfn.XLOOKUP(C24,[1]Timesheet!B:B,[1]Timesheet!BS:BS,0))),0)</f>
        <v>0</v>
      </c>
      <c r="AG24" s="99">
        <f>ROUND(IF(Y24&gt;=8,U24,(U24/$J$3)*(Y24+_xlfn.XLOOKUP(C24,[1]Timesheet!B:B,[1]Timesheet!BS:BS,0))),0)</f>
        <v>0</v>
      </c>
      <c r="AH24" s="99">
        <f>ROUND(IF(OR(CR24&gt;0,Y24&lt;8),(V24/$J$3)*(Y24+_xlfn.XLOOKUP(C24,[1]Timesheet!B:B,[1]Timesheet!BS:BS,0)),V24),0)</f>
        <v>0</v>
      </c>
      <c r="AI24" s="99">
        <f t="shared" si="10"/>
        <v>0</v>
      </c>
      <c r="AJ24" s="99">
        <f>IF(Y24&gt;0,ROUND(IF(LEN(CR24)&gt;2,(X24/$J$3)*(Y24+_xlfn.XLOOKUP(C24,[1]Timesheet!B:B,[1]Timesheet!BS:BS,0)),X24),0),0)</f>
        <v>0</v>
      </c>
      <c r="AK24" s="98">
        <f>_xlfn.XLOOKUP(C24,[1]Overtime!$B$7:$B$557,[1]Overtime!$AN$7:$AN$557,0)</f>
        <v>0</v>
      </c>
      <c r="AL24" s="99">
        <f>ROUND(((SUM(N24:P24)+SUM(T24:X24))/($J$3*8))*_xlfn.XLOOKUP(C24,[1]Overtime!$B$9:$B$557,[1]Overtime!$AU$9:$AU$557,0),0)</f>
        <v>0</v>
      </c>
      <c r="AM24" s="99">
        <f>ROUND(((SUM(N24:P24)+SUM(T24:X24))/($J$3*8))*_xlfn.XLOOKUP(C24,[1]Overtime!$B$9:$B$557,[1]Overtime!$AY$9:$AY$557,0),0)</f>
        <v>0</v>
      </c>
      <c r="AN24" s="99">
        <f t="shared" si="11"/>
        <v>0</v>
      </c>
      <c r="AO24" s="99"/>
      <c r="AP24" s="99"/>
      <c r="AQ24" s="99"/>
      <c r="AR24" s="99">
        <f>ROUND(_xlfn.XLOOKUP(C24,[1]Timesheet!$B$9:$B$458,[1]Timesheet!$BQ$9:$BQ$458,,,-1)*SUM(Salary!N24:P24,Salary!T24:X24)*20%/Salary!$J$3,0)</f>
        <v>0</v>
      </c>
      <c r="AS24" s="99">
        <v>0</v>
      </c>
      <c r="AT24" s="99">
        <v>0</v>
      </c>
      <c r="AU24" s="99"/>
      <c r="AV24" s="99">
        <f>IF(CV24="x",IF(IF(CR24&gt;0,$CW$3-_xlfn.XLOOKUP(C24,[1]Timesheet!B:B,[1]Timesheet!BW:BW,0,,-1),$CW$3-_xlfn.XLOOKUP(C24,[1]Timesheet!B:B,[1]Timesheet!BW:BW,0,,-1)-$EB$3)&lt;14,ROUND(L24*20.5%+M24*1%,0),0),0)</f>
        <v>0</v>
      </c>
      <c r="AW24" s="99">
        <f t="shared" si="12"/>
        <v>0</v>
      </c>
      <c r="AX24" s="99">
        <f t="shared" si="13"/>
        <v>47837</v>
      </c>
      <c r="AY24" s="99"/>
      <c r="AZ24" s="99">
        <v>0</v>
      </c>
      <c r="BA24" s="99"/>
      <c r="BB24" s="99"/>
      <c r="BC24" s="99"/>
      <c r="BD24" s="99"/>
      <c r="BE24" s="99">
        <f t="shared" si="14"/>
        <v>759376</v>
      </c>
      <c r="BF24" s="99">
        <f t="shared" si="55"/>
        <v>0</v>
      </c>
      <c r="BG24" s="97">
        <v>0</v>
      </c>
      <c r="BH24" s="99"/>
      <c r="BI24" s="99"/>
      <c r="BJ24" s="99">
        <f t="shared" si="16"/>
        <v>0</v>
      </c>
      <c r="BK24" s="99">
        <f t="shared" si="17"/>
        <v>0</v>
      </c>
      <c r="BL24" s="99">
        <f t="shared" si="18"/>
        <v>759376</v>
      </c>
      <c r="BM24" s="99">
        <f t="shared" si="19"/>
        <v>759376</v>
      </c>
      <c r="BN24" s="99">
        <f t="shared" si="20"/>
        <v>0</v>
      </c>
      <c r="BO24" s="99">
        <f t="shared" si="21"/>
        <v>0</v>
      </c>
      <c r="BP24" s="99">
        <f t="shared" si="22"/>
        <v>0</v>
      </c>
      <c r="BQ24" s="99">
        <f t="shared" si="23"/>
        <v>0</v>
      </c>
      <c r="BR24" s="99">
        <f t="shared" si="24"/>
        <v>0</v>
      </c>
      <c r="BS24" s="99">
        <f t="shared" si="25"/>
        <v>0</v>
      </c>
      <c r="BT24" s="99"/>
      <c r="BU24" s="99"/>
      <c r="BV24" s="99"/>
      <c r="BW24" s="99">
        <v>0</v>
      </c>
      <c r="BX24" s="99"/>
      <c r="BY24" s="99"/>
      <c r="BZ24" s="99"/>
      <c r="CA24" s="99"/>
      <c r="CB24" s="99"/>
      <c r="CC24" s="99"/>
      <c r="CD24" s="99"/>
      <c r="CE24" s="99"/>
      <c r="CF24" s="99"/>
      <c r="CG24" s="99">
        <f t="shared" si="26"/>
        <v>759376</v>
      </c>
      <c r="CH24" s="99">
        <f t="shared" si="27"/>
        <v>759376</v>
      </c>
      <c r="CI24" s="99">
        <f t="shared" si="28"/>
        <v>0</v>
      </c>
      <c r="CJ24" s="100"/>
      <c r="CK24" s="101">
        <f t="shared" si="29"/>
        <v>0</v>
      </c>
      <c r="CL24" s="102">
        <v>1</v>
      </c>
      <c r="CM24" s="96">
        <f t="shared" si="30"/>
        <v>47837</v>
      </c>
      <c r="CN24" s="101"/>
      <c r="CO24" s="101">
        <f t="shared" si="31"/>
        <v>47837</v>
      </c>
      <c r="CP24" s="103">
        <v>46206</v>
      </c>
      <c r="CQ24" s="103">
        <v>46236</v>
      </c>
      <c r="CR24" s="104">
        <v>46209</v>
      </c>
      <c r="CS24" s="103">
        <v>0</v>
      </c>
      <c r="CT24" s="103">
        <v>0</v>
      </c>
      <c r="CU24" s="101"/>
      <c r="CV24" s="103" t="s">
        <v>226</v>
      </c>
      <c r="CW24" s="103" t="s">
        <v>226</v>
      </c>
      <c r="CX24" s="105"/>
      <c r="CY24" s="105"/>
      <c r="CZ24" s="105"/>
      <c r="DA24" s="99"/>
      <c r="DB24" s="106"/>
      <c r="DC24" s="106">
        <f>_xlfn.XLOOKUP(C24,[1]Overtime!$B$8:$B$2327,[1]Overtime!$BA$8:$BA$2327,"",,-1)</f>
        <v>0</v>
      </c>
      <c r="DD24" s="106">
        <f>_xlfn.XLOOKUP(C24,[1]Timesheet!$B$9:$B$2328,[1]Timesheet!$BS$9:$BS$2328,0,,-1)</f>
        <v>0</v>
      </c>
      <c r="DE24" s="106">
        <f>_xlfn.XLOOKUP(C24,[1]Timesheet!$B$7:$B$616,[1]Timesheet!$BK$7:$BK$616,0)+_xlfn.XLOOKUP(C24,[1]Timesheet!$B$7:$B$616,[1]Timesheet!$AV$7:$AV$616,0)-_xlfn.XLOOKUP(C24,[1]Timesheet!$B$7:$B$616,[1]Timesheet!$AX$7:$AX$616,0)+_xlfn.XLOOKUP(C24,[1]Timesheet!$B$7:$B$616,[1]Timesheet!$AW$7:$AW$616,0)-_xlfn.XLOOKUP(C24,[1]Timesheet!$B$7:$B$616,[1]Timesheet!$AY$7:$AY$616,0)</f>
        <v>0</v>
      </c>
      <c r="DF24" s="106">
        <f t="shared" si="32"/>
        <v>0</v>
      </c>
      <c r="DG24" s="106">
        <f>_xlfn.XLOOKUP(C24,[1]Timesheet!$B$7:$B$616,[1]Timesheet!$BV$7:$BV$616,0)+_xlfn.XLOOKUP(C24,[1]Timesheet!$B$7:$B$616,[1]Timesheet!$AX$7:$AX$616,0)++_xlfn.XLOOKUP(C24,[1]Timesheet!$B$7:$B$616,[1]Timesheet!$AY$7:$AY$616,0)</f>
        <v>0</v>
      </c>
      <c r="DH24" s="106">
        <f t="shared" si="33"/>
        <v>0</v>
      </c>
      <c r="DI24" s="106">
        <f>_xlfn.XLOOKUP(C24,[1]Timesheet!$B$7:$B$616,[1]Timesheet!$AZ$7:$AZ$616,0)+_xlfn.XLOOKUP(C24,[1]Timesheet!$B$7:$B$616,[1]Timesheet!$BA$7:$BA$616,0)</f>
        <v>0</v>
      </c>
      <c r="DJ24" s="106">
        <f>IF(CW24="x",IF((ROUND(Y24*W24/$J$3,0))&lt;0,0,ROUND(Y24*W24/$J$3,0)),IF(OR(CR24&gt;0,CS24&gt;0,CT24&gt;0),W24/$J$3*(Y24+_xlfn.XLOOKUP(C24,[1]Timesheet!B:B,[1]Timesheet!BS:BS,0,,-1)+_xlfn.XLOOKUP(C24,[1]Timesheet!B:B,[1]Timesheet!BU:BU,0,,-1)),IF(OR(DH24&lt;0,DF24&lt;0),IF(DI24&gt;0,W24/$J$3*($J$3-DI24),W24),W24/$J$3*(Y24+_xlfn.XLOOKUP(C24,[1]Timesheet!B:B,[1]Timesheet!BS:BS,0,,-1)+_xlfn.XLOOKUP(C24,[1]Timesheet!B:B,[1]Timesheet!BU:BU,0,,-1)))))</f>
        <v>76923</v>
      </c>
      <c r="DK24" s="106">
        <f t="shared" si="34"/>
        <v>0</v>
      </c>
      <c r="DL24" s="106">
        <f>_xlfn.XLOOKUP(C24,[1]Timesheet!$B$7:$B$565,[1]Timesheet!$BB$7:$BB$565,0)</f>
        <v>0</v>
      </c>
      <c r="DM24" s="106">
        <f>_xlfn.XLOOKUP(C24,[1]Timesheet!$B$7:$B$565,[1]Timesheet!$BC$7:$BC$565,0)</f>
        <v>0</v>
      </c>
      <c r="DN24" s="106">
        <f>_xlfn.XLOOKUP(C24,[1]Timesheet!$B$7:$B$565,[1]Timesheet!$BF$7:$BF$565,0)</f>
        <v>0</v>
      </c>
      <c r="DO24" s="106">
        <f>_xlfn.XLOOKUP(C24,[1]Timesheet!$B$7:$B$565,[1]Timesheet!$BJ$7:$BJ$565,0)</f>
        <v>0</v>
      </c>
      <c r="DP24" s="106">
        <f t="shared" si="35"/>
        <v>0</v>
      </c>
      <c r="DQ24" s="106">
        <f>_xlfn.XLOOKUP(C24,[1]Timesheet!$B$7:$B$565,[1]Timesheet!$BT$7:$BT$565,0)</f>
        <v>19</v>
      </c>
      <c r="DR24" s="106">
        <f>_xlfn.XLOOKUP(C24,[1]Timesheet!$B$7:$B$565,[1]Timesheet!$BM$7:$BM$565,0)</f>
        <v>0</v>
      </c>
      <c r="DS24" s="106">
        <f t="shared" si="36"/>
        <v>0</v>
      </c>
      <c r="DT24" s="106">
        <f t="shared" si="37"/>
        <v>0</v>
      </c>
      <c r="DU24" s="106">
        <f t="shared" si="38"/>
        <v>0</v>
      </c>
      <c r="DV24" s="106">
        <f t="shared" si="39"/>
        <v>0</v>
      </c>
      <c r="DW24" s="106">
        <f t="shared" si="40"/>
        <v>0</v>
      </c>
      <c r="DX24" s="106">
        <f t="shared" si="41"/>
        <v>10250000</v>
      </c>
      <c r="DY24" s="106">
        <f t="shared" si="42"/>
        <v>1800000</v>
      </c>
      <c r="DZ24" s="106">
        <f t="shared" si="43"/>
        <v>1000000</v>
      </c>
      <c r="EA24" s="106">
        <f>_xlfn.XLOOKUP(C24,[1]Timesheet!$B$7:$B$565,[1]Timesheet!$BI$7:$BI$565,0)</f>
        <v>0</v>
      </c>
      <c r="EB24" s="106">
        <f t="shared" si="44"/>
        <v>0</v>
      </c>
      <c r="EC24" s="106">
        <f t="shared" si="45"/>
        <v>0</v>
      </c>
      <c r="ED24" s="106">
        <f t="shared" si="46"/>
        <v>0</v>
      </c>
      <c r="EE24" s="106">
        <f t="shared" si="47"/>
        <v>0</v>
      </c>
      <c r="EF24" s="99">
        <f>ROUND((SUM(N24:P24)+W24+X24+T24+U24+V24)/($J$3*8)*_xlfn.XLOOKUP(C24,[1]Overtime!$B$9:$B$557,[1]Overtime!$AU$9:$AU$557,0),0)</f>
        <v>0</v>
      </c>
      <c r="EG24" s="99">
        <f>ROUND(((SUM(N24:P24)+W24+X24+T24+U24+V24)/($J$3*8))*_xlfn.XLOOKUP(C24,[1]Overtime!$B$9:$B$557,[1]Overtime!$AY$9:$AY$557,0),0)</f>
        <v>0</v>
      </c>
      <c r="EH24" s="99">
        <f t="shared" si="48"/>
        <v>0</v>
      </c>
      <c r="EI24" s="99">
        <f t="shared" si="49"/>
        <v>0</v>
      </c>
      <c r="EJ24" s="99">
        <f t="shared" si="49"/>
        <v>0</v>
      </c>
      <c r="EK24" s="99">
        <f>ROUND((SUM(N24:P24)+W24+X24+T24+U24+V24)/($J$3*8)*_xlfn.XLOOKUP(C24,[1]Overtime!$B$9:$B$557,[1]Overtime!$AO$9:$AO$557,0)*1.5,0)</f>
        <v>0</v>
      </c>
      <c r="EL24" s="99">
        <f>ROUND((SUM(N24:P24)+W24+X24+T24+U24+V24)/($J$3*8)*_xlfn.XLOOKUP(C24,[1]Overtime!$B$9:$B$557,[1]Overtime!$AP$9:$AP$557,0)*2,0)</f>
        <v>0</v>
      </c>
      <c r="EM24" s="99">
        <f t="shared" si="50"/>
        <v>0</v>
      </c>
      <c r="EN24" s="99">
        <f t="shared" si="51"/>
        <v>76923</v>
      </c>
      <c r="EO24" s="99">
        <f t="shared" si="52"/>
        <v>0</v>
      </c>
      <c r="EP24" s="99">
        <f t="shared" si="53"/>
        <v>0</v>
      </c>
      <c r="EQ24" s="87">
        <v>0</v>
      </c>
      <c r="ER24" s="87">
        <f t="shared" si="54"/>
        <v>0</v>
      </c>
      <c r="ET24" s="87"/>
      <c r="EU24" s="88"/>
      <c r="EV24" s="87"/>
    </row>
    <row r="25" spans="1:152" s="107" customFormat="1" ht="27.75" customHeight="1" x14ac:dyDescent="0.25">
      <c r="A25" s="89"/>
      <c r="B25" s="90">
        <f t="shared" si="56"/>
        <v>16</v>
      </c>
      <c r="C25" s="91" t="s">
        <v>268</v>
      </c>
      <c r="D25" s="92" t="s">
        <v>269</v>
      </c>
      <c r="E25" s="92" t="str">
        <f t="shared" si="3"/>
        <v>Probation</v>
      </c>
      <c r="F25" s="93">
        <f t="shared" si="4"/>
        <v>0</v>
      </c>
      <c r="G25" s="92" t="s">
        <v>259</v>
      </c>
      <c r="H25" s="91" t="s">
        <v>220</v>
      </c>
      <c r="I25" s="94" t="s">
        <v>260</v>
      </c>
      <c r="J25" s="95" t="s">
        <v>260</v>
      </c>
      <c r="K25" s="95" t="s">
        <v>261</v>
      </c>
      <c r="L25" s="96">
        <f t="shared" si="5"/>
        <v>6300000</v>
      </c>
      <c r="M25" s="97">
        <f t="shared" si="6"/>
        <v>6300000</v>
      </c>
      <c r="N25" s="97">
        <v>5200000</v>
      </c>
      <c r="O25" s="97">
        <v>100000</v>
      </c>
      <c r="P25" s="97">
        <v>0</v>
      </c>
      <c r="Q25" s="97">
        <v>0</v>
      </c>
      <c r="R25" s="97">
        <v>300000</v>
      </c>
      <c r="S25" s="97">
        <v>0</v>
      </c>
      <c r="T25" s="97">
        <v>0</v>
      </c>
      <c r="U25" s="97">
        <v>0</v>
      </c>
      <c r="V25" s="97">
        <v>0</v>
      </c>
      <c r="W25" s="97">
        <v>1000000</v>
      </c>
      <c r="X25" s="97">
        <v>0</v>
      </c>
      <c r="Y25" s="98">
        <f>_xlfn.XLOOKUP(C25,[1]Timesheet!$B$9:$B$25,[1]Timesheet!$AO$9:$AO$25,0,,1)</f>
        <v>1</v>
      </c>
      <c r="Z25" s="99">
        <f t="shared" si="7"/>
        <v>200000</v>
      </c>
      <c r="AA25" s="99">
        <f>ROUND(O25/$J$3*(Y25+_xlfn.XLOOKUP(C25,[1]Timesheet!B:B,[1]Timesheet!BS:BS,0)),0)</f>
        <v>3846</v>
      </c>
      <c r="AB25" s="99">
        <f>ROUND(IF(Y25&gt;=8,P25,(P25/$J$3)*(Y25+_xlfn.XLOOKUP(C25,[1]Timesheet!B:B,[1]Timesheet!BS:BS,0))),0)</f>
        <v>0</v>
      </c>
      <c r="AC25" s="99">
        <f t="shared" si="8"/>
        <v>0</v>
      </c>
      <c r="AD25" s="99">
        <f>IF(_xlfn.XLOOKUP(Salary!C25,[1]Bus!B:B,[1]Bus!G:G,"",,-1)=1,0,ROUND((R25/$J$3)*ROUND(Y25+_xlfn.XLOOKUP(C25,[1]Timesheet!B:B,[1]Timesheet!BS:BS,0,,-1),0),0))</f>
        <v>11538</v>
      </c>
      <c r="AE25" s="99">
        <f t="shared" si="9"/>
        <v>0</v>
      </c>
      <c r="AF25" s="99">
        <f>ROUND(IF(Y25&gt;=8,T25,(T25/$J$3)*(Y25+_xlfn.XLOOKUP(C25,[1]Timesheet!B:B,[1]Timesheet!BS:BS,0))),0)</f>
        <v>0</v>
      </c>
      <c r="AG25" s="99">
        <f>ROUND(IF(Y25&gt;=8,U25,(U25/$J$3)*(Y25+_xlfn.XLOOKUP(C25,[1]Timesheet!B:B,[1]Timesheet!BS:BS,0))),0)</f>
        <v>0</v>
      </c>
      <c r="AH25" s="99">
        <f>ROUND(IF(OR(CR25&gt;0,Y25&lt;8),(V25/$J$3)*(Y25+_xlfn.XLOOKUP(C25,[1]Timesheet!B:B,[1]Timesheet!BS:BS,0)),V25),0)</f>
        <v>0</v>
      </c>
      <c r="AI25" s="99">
        <f t="shared" si="10"/>
        <v>0</v>
      </c>
      <c r="AJ25" s="99">
        <f>IF(Y25&gt;0,ROUND(IF(LEN(CR25)&gt;2,(X25/$J$3)*(Y25+_xlfn.XLOOKUP(C25,[1]Timesheet!B:B,[1]Timesheet!BS:BS,0)),X25),0),0)</f>
        <v>0</v>
      </c>
      <c r="AK25" s="98">
        <f>_xlfn.XLOOKUP(C25,[1]Overtime!$B$7:$B$557,[1]Overtime!$AN$7:$AN$557,0)</f>
        <v>0</v>
      </c>
      <c r="AL25" s="99">
        <f>ROUND(((SUM(N25:P25)+SUM(T25:X25))/($J$3*8))*_xlfn.XLOOKUP(C25,[1]Overtime!$B$9:$B$557,[1]Overtime!$AU$9:$AU$557,0),0)</f>
        <v>0</v>
      </c>
      <c r="AM25" s="99">
        <f>ROUND(((SUM(N25:P25)+SUM(T25:X25))/($J$3*8))*_xlfn.XLOOKUP(C25,[1]Overtime!$B$9:$B$557,[1]Overtime!$AY$9:$AY$557,0),0)</f>
        <v>0</v>
      </c>
      <c r="AN25" s="99">
        <f t="shared" si="11"/>
        <v>0</v>
      </c>
      <c r="AO25" s="99"/>
      <c r="AP25" s="99"/>
      <c r="AQ25" s="99"/>
      <c r="AR25" s="99">
        <f>ROUND(_xlfn.XLOOKUP(C25,[1]Timesheet!$B$9:$B$458,[1]Timesheet!$BQ$9:$BQ$458,,,-1)*SUM(Salary!N25:P25,Salary!T25:X25)*20%/Salary!$J$3,0)</f>
        <v>0</v>
      </c>
      <c r="AS25" s="99">
        <v>0</v>
      </c>
      <c r="AT25" s="99">
        <v>0</v>
      </c>
      <c r="AU25" s="99"/>
      <c r="AV25" s="99">
        <f>IF(CV25="x",IF(IF(CR25&gt;0,$CW$3-_xlfn.XLOOKUP(C25,[1]Timesheet!B:B,[1]Timesheet!BW:BW,0,,-1),$CW$3-_xlfn.XLOOKUP(C25,[1]Timesheet!B:B,[1]Timesheet!BW:BW,0,,-1)-$EB$3)&lt;14,ROUND(L25*20.5%+M25*1%,0),0),0)</f>
        <v>0</v>
      </c>
      <c r="AW25" s="99">
        <f t="shared" si="12"/>
        <v>0</v>
      </c>
      <c r="AX25" s="99">
        <f t="shared" si="13"/>
        <v>15144</v>
      </c>
      <c r="AY25" s="99"/>
      <c r="AZ25" s="99">
        <v>0</v>
      </c>
      <c r="BA25" s="99"/>
      <c r="BB25" s="99"/>
      <c r="BC25" s="99"/>
      <c r="BD25" s="99"/>
      <c r="BE25" s="99">
        <f t="shared" si="14"/>
        <v>230528</v>
      </c>
      <c r="BF25" s="99">
        <f t="shared" si="55"/>
        <v>0</v>
      </c>
      <c r="BG25" s="97">
        <v>0</v>
      </c>
      <c r="BH25" s="99"/>
      <c r="BI25" s="99"/>
      <c r="BJ25" s="99">
        <f t="shared" si="16"/>
        <v>0</v>
      </c>
      <c r="BK25" s="99">
        <f t="shared" si="17"/>
        <v>0</v>
      </c>
      <c r="BL25" s="99">
        <f t="shared" si="18"/>
        <v>230528</v>
      </c>
      <c r="BM25" s="99">
        <f t="shared" si="19"/>
        <v>230528</v>
      </c>
      <c r="BN25" s="99">
        <f t="shared" si="20"/>
        <v>0</v>
      </c>
      <c r="BO25" s="99">
        <f t="shared" si="21"/>
        <v>0</v>
      </c>
      <c r="BP25" s="99">
        <f t="shared" si="22"/>
        <v>0</v>
      </c>
      <c r="BQ25" s="99">
        <f t="shared" si="23"/>
        <v>0</v>
      </c>
      <c r="BR25" s="99">
        <f t="shared" si="24"/>
        <v>0</v>
      </c>
      <c r="BS25" s="99">
        <f t="shared" si="25"/>
        <v>0</v>
      </c>
      <c r="BT25" s="99"/>
      <c r="BU25" s="99"/>
      <c r="BV25" s="99"/>
      <c r="BW25" s="99">
        <v>0</v>
      </c>
      <c r="BX25" s="99"/>
      <c r="BY25" s="99"/>
      <c r="BZ25" s="99"/>
      <c r="CA25" s="99"/>
      <c r="CB25" s="99"/>
      <c r="CC25" s="99"/>
      <c r="CD25" s="99"/>
      <c r="CE25" s="99"/>
      <c r="CF25" s="99"/>
      <c r="CG25" s="99">
        <f t="shared" si="26"/>
        <v>230528</v>
      </c>
      <c r="CH25" s="99">
        <f t="shared" si="27"/>
        <v>230528</v>
      </c>
      <c r="CI25" s="99">
        <f t="shared" si="28"/>
        <v>0</v>
      </c>
      <c r="CJ25" s="100"/>
      <c r="CK25" s="101">
        <f t="shared" si="29"/>
        <v>0</v>
      </c>
      <c r="CL25" s="102">
        <v>0.5</v>
      </c>
      <c r="CM25" s="96">
        <f t="shared" si="30"/>
        <v>15144</v>
      </c>
      <c r="CN25" s="101"/>
      <c r="CO25" s="101">
        <f t="shared" si="31"/>
        <v>15144</v>
      </c>
      <c r="CP25" s="103">
        <v>46210</v>
      </c>
      <c r="CQ25" s="103">
        <v>46240</v>
      </c>
      <c r="CR25" s="104">
        <v>46211</v>
      </c>
      <c r="CS25" s="103">
        <v>0</v>
      </c>
      <c r="CT25" s="103">
        <v>0</v>
      </c>
      <c r="CU25" s="101"/>
      <c r="CV25" s="103" t="s">
        <v>226</v>
      </c>
      <c r="CW25" s="103" t="s">
        <v>226</v>
      </c>
      <c r="CX25" s="105"/>
      <c r="CY25" s="105"/>
      <c r="CZ25" s="105"/>
      <c r="DA25" s="99"/>
      <c r="DB25" s="106"/>
      <c r="DC25" s="106">
        <f>_xlfn.XLOOKUP(C25,[1]Overtime!$B$8:$B$2327,[1]Overtime!$BA$8:$BA$2327,"",,-1)</f>
        <v>0</v>
      </c>
      <c r="DD25" s="106">
        <f>_xlfn.XLOOKUP(C25,[1]Timesheet!$B$9:$B$2328,[1]Timesheet!$BS$9:$BS$2328,0,,-1)</f>
        <v>0</v>
      </c>
      <c r="DE25" s="106">
        <f>_xlfn.XLOOKUP(C25,[1]Timesheet!$B$7:$B$616,[1]Timesheet!$BK$7:$BK$616,0)+_xlfn.XLOOKUP(C25,[1]Timesheet!$B$7:$B$616,[1]Timesheet!$AV$7:$AV$616,0)-_xlfn.XLOOKUP(C25,[1]Timesheet!$B$7:$B$616,[1]Timesheet!$AX$7:$AX$616,0)+_xlfn.XLOOKUP(C25,[1]Timesheet!$B$7:$B$616,[1]Timesheet!$AW$7:$AW$616,0)-_xlfn.XLOOKUP(C25,[1]Timesheet!$B$7:$B$616,[1]Timesheet!$AY$7:$AY$616,0)</f>
        <v>0</v>
      </c>
      <c r="DF25" s="106">
        <f t="shared" si="32"/>
        <v>0</v>
      </c>
      <c r="DG25" s="106">
        <f>_xlfn.XLOOKUP(C25,[1]Timesheet!$B$7:$B$616,[1]Timesheet!$BV$7:$BV$616,0)+_xlfn.XLOOKUP(C25,[1]Timesheet!$B$7:$B$616,[1]Timesheet!$AX$7:$AX$616,0)++_xlfn.XLOOKUP(C25,[1]Timesheet!$B$7:$B$616,[1]Timesheet!$AY$7:$AY$616,0)</f>
        <v>0</v>
      </c>
      <c r="DH25" s="106">
        <f t="shared" si="33"/>
        <v>0</v>
      </c>
      <c r="DI25" s="106">
        <f>_xlfn.XLOOKUP(C25,[1]Timesheet!$B$7:$B$616,[1]Timesheet!$AZ$7:$AZ$616,0)+_xlfn.XLOOKUP(C25,[1]Timesheet!$B$7:$B$616,[1]Timesheet!$BA$7:$BA$616,0)</f>
        <v>0</v>
      </c>
      <c r="DJ25" s="106">
        <f>IF(CW25="x",IF((ROUND(Y25*W25/$J$3,0))&lt;0,0,ROUND(Y25*W25/$J$3,0)),IF(OR(CR25&gt;0,CS25&gt;0,CT25&gt;0),W25/$J$3*(Y25+_xlfn.XLOOKUP(C25,[1]Timesheet!B:B,[1]Timesheet!BS:BS,0,,-1)+_xlfn.XLOOKUP(C25,[1]Timesheet!B:B,[1]Timesheet!BU:BU,0,,-1)),IF(OR(DH25&lt;0,DF25&lt;0),IF(DI25&gt;0,W25/$J$3*($J$3-DI25),W25),W25/$J$3*(Y25+_xlfn.XLOOKUP(C25,[1]Timesheet!B:B,[1]Timesheet!BS:BS,0,,-1)+_xlfn.XLOOKUP(C25,[1]Timesheet!B:B,[1]Timesheet!BU:BU,0,,-1)))))</f>
        <v>38462</v>
      </c>
      <c r="DK25" s="106">
        <f t="shared" si="34"/>
        <v>0</v>
      </c>
      <c r="DL25" s="106">
        <f>_xlfn.XLOOKUP(C25,[1]Timesheet!$B$7:$B$565,[1]Timesheet!$BB$7:$BB$565,0)</f>
        <v>0</v>
      </c>
      <c r="DM25" s="106">
        <f>_xlfn.XLOOKUP(C25,[1]Timesheet!$B$7:$B$565,[1]Timesheet!$BC$7:$BC$565,0)</f>
        <v>0</v>
      </c>
      <c r="DN25" s="106">
        <f>_xlfn.XLOOKUP(C25,[1]Timesheet!$B$7:$B$565,[1]Timesheet!$BF$7:$BF$565,0)</f>
        <v>0</v>
      </c>
      <c r="DO25" s="106">
        <f>_xlfn.XLOOKUP(C25,[1]Timesheet!$B$7:$B$565,[1]Timesheet!$BJ$7:$BJ$565,0)</f>
        <v>0</v>
      </c>
      <c r="DP25" s="106">
        <f t="shared" si="35"/>
        <v>0</v>
      </c>
      <c r="DQ25" s="106">
        <f>_xlfn.XLOOKUP(C25,[1]Timesheet!$B$7:$B$565,[1]Timesheet!$BT$7:$BT$565,0)</f>
        <v>20</v>
      </c>
      <c r="DR25" s="106">
        <f>_xlfn.XLOOKUP(C25,[1]Timesheet!$B$7:$B$565,[1]Timesheet!$BM$7:$BM$565,0)</f>
        <v>0</v>
      </c>
      <c r="DS25" s="106">
        <f t="shared" si="36"/>
        <v>0</v>
      </c>
      <c r="DT25" s="106">
        <f t="shared" si="37"/>
        <v>0</v>
      </c>
      <c r="DU25" s="106">
        <f t="shared" si="38"/>
        <v>0</v>
      </c>
      <c r="DV25" s="106">
        <f t="shared" si="39"/>
        <v>0</v>
      </c>
      <c r="DW25" s="106">
        <f t="shared" si="40"/>
        <v>0</v>
      </c>
      <c r="DX25" s="106">
        <f t="shared" si="41"/>
        <v>6600000</v>
      </c>
      <c r="DY25" s="106">
        <f t="shared" si="42"/>
        <v>400000</v>
      </c>
      <c r="DZ25" s="106">
        <f t="shared" si="43"/>
        <v>1000000</v>
      </c>
      <c r="EA25" s="106">
        <f>_xlfn.XLOOKUP(C25,[1]Timesheet!$B$7:$B$565,[1]Timesheet!$BI$7:$BI$565,0)</f>
        <v>0</v>
      </c>
      <c r="EB25" s="106">
        <f t="shared" si="44"/>
        <v>0</v>
      </c>
      <c r="EC25" s="106">
        <f t="shared" si="45"/>
        <v>0</v>
      </c>
      <c r="ED25" s="106">
        <f t="shared" si="46"/>
        <v>0</v>
      </c>
      <c r="EE25" s="106">
        <f t="shared" si="47"/>
        <v>0</v>
      </c>
      <c r="EF25" s="99">
        <f>ROUND((SUM(N25:P25)+W25+X25+T25+U25+V25)/($J$3*8)*_xlfn.XLOOKUP(C25,[1]Overtime!$B$9:$B$557,[1]Overtime!$AU$9:$AU$557,0),0)</f>
        <v>0</v>
      </c>
      <c r="EG25" s="99">
        <f>ROUND(((SUM(N25:P25)+W25+X25+T25+U25+V25)/($J$3*8))*_xlfn.XLOOKUP(C25,[1]Overtime!$B$9:$B$557,[1]Overtime!$AY$9:$AY$557,0),0)</f>
        <v>0</v>
      </c>
      <c r="EH25" s="99">
        <f t="shared" si="48"/>
        <v>0</v>
      </c>
      <c r="EI25" s="99">
        <f t="shared" si="49"/>
        <v>0</v>
      </c>
      <c r="EJ25" s="99">
        <f t="shared" si="49"/>
        <v>0</v>
      </c>
      <c r="EK25" s="99">
        <f>ROUND((SUM(N25:P25)+W25+X25+T25+U25+V25)/($J$3*8)*_xlfn.XLOOKUP(C25,[1]Overtime!$B$9:$B$557,[1]Overtime!$AO$9:$AO$557,0)*1.5,0)</f>
        <v>0</v>
      </c>
      <c r="EL25" s="99">
        <f>ROUND((SUM(N25:P25)+W25+X25+T25+U25+V25)/($J$3*8)*_xlfn.XLOOKUP(C25,[1]Overtime!$B$9:$B$557,[1]Overtime!$AP$9:$AP$557,0)*2,0)</f>
        <v>0</v>
      </c>
      <c r="EM25" s="99">
        <f t="shared" si="50"/>
        <v>0</v>
      </c>
      <c r="EN25" s="99">
        <f t="shared" si="51"/>
        <v>38462</v>
      </c>
      <c r="EO25" s="99">
        <f t="shared" si="52"/>
        <v>0</v>
      </c>
      <c r="EP25" s="99">
        <f t="shared" si="53"/>
        <v>0</v>
      </c>
      <c r="EQ25" s="87">
        <v>0</v>
      </c>
      <c r="ER25" s="87">
        <f t="shared" si="54"/>
        <v>0</v>
      </c>
      <c r="ET25" s="87"/>
      <c r="EU25" s="88"/>
      <c r="EV25" s="87"/>
    </row>
    <row r="26" spans="1:152" s="108" customFormat="1" ht="33" customHeight="1" x14ac:dyDescent="0.25">
      <c r="B26" s="109" t="s">
        <v>270</v>
      </c>
      <c r="C26" s="109"/>
      <c r="D26" s="110"/>
      <c r="E26" s="110"/>
      <c r="F26" s="110"/>
      <c r="G26" s="110"/>
      <c r="H26" s="109"/>
      <c r="I26" s="109"/>
      <c r="J26" s="110"/>
      <c r="K26" s="110"/>
      <c r="L26" s="111">
        <f t="shared" ref="L26:BW26" si="58">L9+L8</f>
        <v>107550000</v>
      </c>
      <c r="M26" s="111">
        <f t="shared" si="58"/>
        <v>107550000</v>
      </c>
      <c r="N26" s="111">
        <f t="shared" si="58"/>
        <v>83950000</v>
      </c>
      <c r="O26" s="111">
        <f t="shared" si="58"/>
        <v>7400000</v>
      </c>
      <c r="P26" s="111">
        <f t="shared" si="58"/>
        <v>0</v>
      </c>
      <c r="Q26" s="111">
        <f t="shared" si="58"/>
        <v>0</v>
      </c>
      <c r="R26" s="111">
        <f t="shared" si="58"/>
        <v>4800000</v>
      </c>
      <c r="S26" s="111">
        <f t="shared" si="58"/>
        <v>0</v>
      </c>
      <c r="T26" s="111">
        <f t="shared" si="58"/>
        <v>0</v>
      </c>
      <c r="U26" s="111">
        <f t="shared" si="58"/>
        <v>0</v>
      </c>
      <c r="V26" s="111">
        <f t="shared" si="58"/>
        <v>200000</v>
      </c>
      <c r="W26" s="111">
        <f t="shared" si="58"/>
        <v>16000000</v>
      </c>
      <c r="X26" s="111">
        <f t="shared" si="58"/>
        <v>0</v>
      </c>
      <c r="Y26" s="112">
        <f t="shared" si="58"/>
        <v>34.4</v>
      </c>
      <c r="Z26" s="111">
        <f t="shared" si="58"/>
        <v>6855769</v>
      </c>
      <c r="AA26" s="111">
        <f t="shared" si="58"/>
        <v>754614</v>
      </c>
      <c r="AB26" s="111">
        <f t="shared" si="58"/>
        <v>0</v>
      </c>
      <c r="AC26" s="111">
        <f t="shared" si="58"/>
        <v>0</v>
      </c>
      <c r="AD26" s="111">
        <f t="shared" si="58"/>
        <v>415383</v>
      </c>
      <c r="AE26" s="111">
        <f t="shared" si="58"/>
        <v>0</v>
      </c>
      <c r="AF26" s="111">
        <f t="shared" si="58"/>
        <v>0</v>
      </c>
      <c r="AG26" s="111">
        <f t="shared" si="58"/>
        <v>0</v>
      </c>
      <c r="AH26" s="111">
        <f t="shared" si="58"/>
        <v>26923</v>
      </c>
      <c r="AI26" s="111">
        <f t="shared" si="58"/>
        <v>0</v>
      </c>
      <c r="AJ26" s="111">
        <f t="shared" si="58"/>
        <v>0</v>
      </c>
      <c r="AK26" s="112">
        <f t="shared" si="58"/>
        <v>18.100000000000001</v>
      </c>
      <c r="AL26" s="111">
        <f t="shared" si="58"/>
        <v>574904</v>
      </c>
      <c r="AM26" s="111">
        <f t="shared" si="58"/>
        <v>287452</v>
      </c>
      <c r="AN26" s="111">
        <f t="shared" si="58"/>
        <v>862356</v>
      </c>
      <c r="AO26" s="111">
        <f t="shared" si="58"/>
        <v>0</v>
      </c>
      <c r="AP26" s="111">
        <f t="shared" si="58"/>
        <v>0</v>
      </c>
      <c r="AQ26" s="111">
        <f t="shared" si="58"/>
        <v>0</v>
      </c>
      <c r="AR26" s="111">
        <f t="shared" si="58"/>
        <v>0</v>
      </c>
      <c r="AS26" s="111">
        <f t="shared" si="58"/>
        <v>80000</v>
      </c>
      <c r="AT26" s="111">
        <f t="shared" si="58"/>
        <v>0</v>
      </c>
      <c r="AU26" s="111">
        <f t="shared" si="58"/>
        <v>0</v>
      </c>
      <c r="AV26" s="111">
        <f t="shared" si="58"/>
        <v>0</v>
      </c>
      <c r="AW26" s="111">
        <f t="shared" si="58"/>
        <v>820371</v>
      </c>
      <c r="AX26" s="111">
        <f t="shared" si="58"/>
        <v>1255770</v>
      </c>
      <c r="AY26" s="111">
        <f t="shared" si="58"/>
        <v>0</v>
      </c>
      <c r="AZ26" s="111">
        <f t="shared" si="58"/>
        <v>0</v>
      </c>
      <c r="BA26" s="111">
        <f t="shared" si="58"/>
        <v>0</v>
      </c>
      <c r="BB26" s="111">
        <f t="shared" si="58"/>
        <v>0</v>
      </c>
      <c r="BC26" s="111">
        <f t="shared" si="58"/>
        <v>0</v>
      </c>
      <c r="BD26" s="111">
        <f t="shared" si="58"/>
        <v>0</v>
      </c>
      <c r="BE26" s="111">
        <f t="shared" si="58"/>
        <v>11071186</v>
      </c>
      <c r="BF26" s="111">
        <f t="shared" si="58"/>
        <v>0</v>
      </c>
      <c r="BG26" s="111">
        <f t="shared" si="58"/>
        <v>0</v>
      </c>
      <c r="BH26" s="111">
        <f t="shared" si="58"/>
        <v>0</v>
      </c>
      <c r="BI26" s="111">
        <f t="shared" si="58"/>
        <v>300000</v>
      </c>
      <c r="BJ26" s="111">
        <f t="shared" si="58"/>
        <v>0</v>
      </c>
      <c r="BK26" s="111">
        <f t="shared" si="58"/>
        <v>0</v>
      </c>
      <c r="BL26" s="111">
        <f t="shared" si="58"/>
        <v>9388459</v>
      </c>
      <c r="BM26" s="111">
        <f t="shared" si="58"/>
        <v>9388459</v>
      </c>
      <c r="BN26" s="111">
        <f t="shared" si="58"/>
        <v>0</v>
      </c>
      <c r="BO26" s="111">
        <f t="shared" si="58"/>
        <v>300000</v>
      </c>
      <c r="BP26" s="111">
        <f t="shared" si="58"/>
        <v>0</v>
      </c>
      <c r="BQ26" s="111">
        <f t="shared" si="58"/>
        <v>600000</v>
      </c>
      <c r="BR26" s="111">
        <f t="shared" si="58"/>
        <v>0</v>
      </c>
      <c r="BS26" s="111">
        <f t="shared" si="58"/>
        <v>0</v>
      </c>
      <c r="BT26" s="111">
        <f t="shared" si="58"/>
        <v>0</v>
      </c>
      <c r="BU26" s="111">
        <f t="shared" si="58"/>
        <v>0</v>
      </c>
      <c r="BV26" s="111">
        <f t="shared" si="58"/>
        <v>0</v>
      </c>
      <c r="BW26" s="111">
        <f t="shared" si="58"/>
        <v>0</v>
      </c>
      <c r="BX26" s="111">
        <f t="shared" ref="BX26:CY26" si="59">BX9+BX8</f>
        <v>0</v>
      </c>
      <c r="BY26" s="111">
        <f t="shared" si="59"/>
        <v>0</v>
      </c>
      <c r="BZ26" s="111">
        <f t="shared" si="59"/>
        <v>0</v>
      </c>
      <c r="CA26" s="111">
        <f t="shared" si="59"/>
        <v>0</v>
      </c>
      <c r="CB26" s="111">
        <f t="shared" si="59"/>
        <v>546065</v>
      </c>
      <c r="CC26" s="111">
        <f t="shared" si="59"/>
        <v>0</v>
      </c>
      <c r="CD26" s="111">
        <f t="shared" si="59"/>
        <v>0</v>
      </c>
      <c r="CE26" s="111">
        <f t="shared" si="59"/>
        <v>0</v>
      </c>
      <c r="CF26" s="111">
        <f t="shared" si="59"/>
        <v>0</v>
      </c>
      <c r="CG26" s="113">
        <f t="shared" si="59"/>
        <v>10225121</v>
      </c>
      <c r="CH26" s="111">
        <f t="shared" si="59"/>
        <v>11125121</v>
      </c>
      <c r="CI26" s="111">
        <f t="shared" si="59"/>
        <v>0</v>
      </c>
      <c r="CJ26" s="112">
        <f t="shared" si="59"/>
        <v>3.3000000000000003</v>
      </c>
      <c r="CK26" s="111">
        <f t="shared" si="59"/>
        <v>820371</v>
      </c>
      <c r="CL26" s="112">
        <f t="shared" si="59"/>
        <v>39</v>
      </c>
      <c r="CM26" s="111">
        <f t="shared" si="59"/>
        <v>1255770</v>
      </c>
      <c r="CN26" s="111">
        <f t="shared" si="59"/>
        <v>0</v>
      </c>
      <c r="CO26" s="111">
        <f t="shared" si="59"/>
        <v>2076141</v>
      </c>
      <c r="CP26" s="111">
        <f t="shared" si="59"/>
        <v>738113</v>
      </c>
      <c r="CQ26" s="111">
        <f t="shared" si="59"/>
        <v>738593</v>
      </c>
      <c r="CR26" s="111">
        <f t="shared" si="59"/>
        <v>739288</v>
      </c>
      <c r="CS26" s="111">
        <f t="shared" si="59"/>
        <v>0</v>
      </c>
      <c r="CT26" s="111">
        <f t="shared" si="59"/>
        <v>0</v>
      </c>
      <c r="CU26" s="111">
        <f t="shared" si="59"/>
        <v>0</v>
      </c>
      <c r="CV26" s="111">
        <f t="shared" si="59"/>
        <v>0</v>
      </c>
      <c r="CW26" s="111">
        <f t="shared" si="59"/>
        <v>0</v>
      </c>
      <c r="CX26" s="111">
        <f t="shared" si="59"/>
        <v>0</v>
      </c>
      <c r="CY26" s="111">
        <f t="shared" si="59"/>
        <v>0</v>
      </c>
      <c r="CZ26" s="114"/>
      <c r="DA26" s="115"/>
      <c r="DB26" s="111">
        <f t="shared" ref="DB26:EP26" si="60">DB9+DB8</f>
        <v>0</v>
      </c>
      <c r="DC26" s="111">
        <f t="shared" si="60"/>
        <v>0</v>
      </c>
      <c r="DD26" s="111">
        <f t="shared" si="60"/>
        <v>0</v>
      </c>
      <c r="DE26" s="111">
        <f t="shared" si="60"/>
        <v>4</v>
      </c>
      <c r="DF26" s="111">
        <f t="shared" si="60"/>
        <v>-400000</v>
      </c>
      <c r="DG26" s="111">
        <f t="shared" si="60"/>
        <v>31</v>
      </c>
      <c r="DH26" s="111">
        <f t="shared" si="60"/>
        <v>-6400000</v>
      </c>
      <c r="DI26" s="111">
        <f t="shared" si="60"/>
        <v>0</v>
      </c>
      <c r="DJ26" s="111">
        <f t="shared" si="60"/>
        <v>1323078.3076923077</v>
      </c>
      <c r="DK26" s="111">
        <f t="shared" si="60"/>
        <v>-6800000</v>
      </c>
      <c r="DL26" s="111">
        <f t="shared" si="60"/>
        <v>0</v>
      </c>
      <c r="DM26" s="111">
        <f t="shared" si="60"/>
        <v>0</v>
      </c>
      <c r="DN26" s="111">
        <f t="shared" si="60"/>
        <v>0</v>
      </c>
      <c r="DO26" s="111">
        <f t="shared" si="60"/>
        <v>13</v>
      </c>
      <c r="DP26" s="111">
        <f t="shared" si="60"/>
        <v>13</v>
      </c>
      <c r="DQ26" s="111">
        <f t="shared" si="60"/>
        <v>324</v>
      </c>
      <c r="DR26" s="111">
        <f t="shared" si="60"/>
        <v>0</v>
      </c>
      <c r="DS26" s="111">
        <f t="shared" si="60"/>
        <v>0</v>
      </c>
      <c r="DT26" s="111">
        <f t="shared" si="60"/>
        <v>0</v>
      </c>
      <c r="DU26" s="111">
        <f t="shared" si="60"/>
        <v>600000</v>
      </c>
      <c r="DV26" s="111">
        <f t="shared" si="60"/>
        <v>0</v>
      </c>
      <c r="DW26" s="111">
        <f t="shared" si="60"/>
        <v>0</v>
      </c>
      <c r="DX26" s="111">
        <f t="shared" si="60"/>
        <v>112350000</v>
      </c>
      <c r="DY26" s="111">
        <f t="shared" si="60"/>
        <v>12200000</v>
      </c>
      <c r="DZ26" s="111">
        <f t="shared" si="60"/>
        <v>16000000</v>
      </c>
      <c r="EA26" s="111">
        <f t="shared" si="60"/>
        <v>31</v>
      </c>
      <c r="EB26" s="111">
        <f t="shared" si="60"/>
        <v>0</v>
      </c>
      <c r="EC26" s="111">
        <f t="shared" si="60"/>
        <v>0</v>
      </c>
      <c r="ED26" s="111">
        <f t="shared" si="60"/>
        <v>0</v>
      </c>
      <c r="EE26" s="111">
        <f t="shared" si="60"/>
        <v>0</v>
      </c>
      <c r="EF26" s="111">
        <f t="shared" si="60"/>
        <v>574904</v>
      </c>
      <c r="EG26" s="111">
        <f t="shared" si="60"/>
        <v>287452</v>
      </c>
      <c r="EH26" s="111">
        <f t="shared" si="60"/>
        <v>862356</v>
      </c>
      <c r="EI26" s="111">
        <f t="shared" si="60"/>
        <v>0</v>
      </c>
      <c r="EJ26" s="111">
        <f t="shared" si="60"/>
        <v>0</v>
      </c>
      <c r="EK26" s="111">
        <f t="shared" si="60"/>
        <v>862356</v>
      </c>
      <c r="EL26" s="111">
        <f t="shared" si="60"/>
        <v>0</v>
      </c>
      <c r="EM26" s="111">
        <f t="shared" si="60"/>
        <v>0</v>
      </c>
      <c r="EN26" s="111">
        <f t="shared" si="60"/>
        <v>1323078</v>
      </c>
      <c r="EO26" s="111">
        <f t="shared" si="60"/>
        <v>0.30769230771693401</v>
      </c>
      <c r="EP26" s="111">
        <f t="shared" si="60"/>
        <v>0</v>
      </c>
      <c r="EQ26" s="108">
        <v>1377200000</v>
      </c>
      <c r="ES26" s="108">
        <v>7824780959</v>
      </c>
      <c r="EU26" s="108">
        <v>8373653844</v>
      </c>
    </row>
    <row r="27" spans="1:152" s="116" customFormat="1" ht="46.35" customHeight="1" x14ac:dyDescent="0.55000000000000004">
      <c r="B27" s="117"/>
      <c r="C27" s="118"/>
      <c r="D27" s="119"/>
      <c r="E27" s="119"/>
      <c r="F27" s="119"/>
      <c r="G27" s="119"/>
      <c r="H27" s="120"/>
      <c r="I27" s="121"/>
      <c r="J27" s="119"/>
      <c r="K27" s="122"/>
      <c r="L27" s="123"/>
      <c r="M27" s="124"/>
      <c r="N27" s="124"/>
      <c r="O27" s="124"/>
      <c r="P27" s="124"/>
      <c r="Q27" s="124"/>
      <c r="R27" s="124"/>
      <c r="S27" s="118"/>
      <c r="T27" s="118"/>
      <c r="U27" s="118"/>
      <c r="V27" s="118"/>
      <c r="W27" s="124"/>
      <c r="X27" s="124"/>
      <c r="AK27" s="125"/>
      <c r="AM27" s="126"/>
      <c r="AO27" s="118"/>
      <c r="AP27" s="118"/>
      <c r="AQ27" s="118"/>
      <c r="AR27" s="118"/>
      <c r="AS27" s="118"/>
      <c r="BF27" s="127"/>
      <c r="BG27" s="127"/>
      <c r="BH27" s="127"/>
      <c r="BI27" s="127"/>
      <c r="BJ27" s="127"/>
      <c r="BK27" s="127"/>
      <c r="BL27" s="127" t="s">
        <v>271</v>
      </c>
      <c r="BM27" s="127"/>
      <c r="BN27" s="127"/>
      <c r="BO27" s="127"/>
      <c r="BP27" s="127"/>
      <c r="BQ27" s="127"/>
      <c r="BR27" s="127"/>
      <c r="BS27" s="128"/>
      <c r="BT27" s="127"/>
      <c r="BU27" s="127"/>
      <c r="BV27" s="127"/>
      <c r="BZ27" s="126"/>
      <c r="CG27" s="129"/>
      <c r="CH27" s="129"/>
      <c r="CJ27" s="125"/>
      <c r="CL27" s="125"/>
      <c r="CO27" s="118"/>
      <c r="CR27" s="130"/>
      <c r="CS27" s="131"/>
      <c r="CT27" s="131"/>
      <c r="CV27" s="131"/>
      <c r="CW27" s="131"/>
      <c r="DB27" s="124"/>
      <c r="DC27" s="124"/>
      <c r="DD27" s="124"/>
      <c r="DE27" s="124"/>
      <c r="DF27" s="124"/>
      <c r="DG27" s="124"/>
      <c r="DH27" s="124"/>
      <c r="DI27" s="124"/>
      <c r="DJ27" s="124"/>
      <c r="DK27" s="124"/>
      <c r="DL27" s="124"/>
      <c r="DM27" s="124"/>
      <c r="DN27" s="124"/>
      <c r="DO27" s="124"/>
      <c r="DP27" s="124"/>
      <c r="DQ27" s="124"/>
      <c r="DR27" s="124"/>
      <c r="DS27" s="124"/>
      <c r="DT27" s="124"/>
      <c r="DU27" s="124"/>
      <c r="DV27" s="124"/>
      <c r="DW27" s="124"/>
      <c r="DX27" s="124"/>
      <c r="DY27" s="124"/>
      <c r="DZ27" s="124"/>
      <c r="EA27" s="124"/>
      <c r="EB27" s="124"/>
      <c r="EC27" s="124"/>
      <c r="ED27" s="124"/>
      <c r="EE27" s="124"/>
      <c r="EG27" s="126"/>
    </row>
    <row r="28" spans="1:152" s="116" customFormat="1" ht="27" customHeight="1" x14ac:dyDescent="0.55000000000000004">
      <c r="B28" s="117"/>
      <c r="C28" s="118"/>
      <c r="D28" s="119"/>
      <c r="E28" s="119"/>
      <c r="F28" s="119"/>
      <c r="G28" s="119"/>
      <c r="H28" s="120"/>
      <c r="I28" s="127"/>
      <c r="J28" s="119"/>
      <c r="K28" s="132"/>
      <c r="L28" s="123"/>
      <c r="M28" s="124"/>
      <c r="N28" s="124"/>
      <c r="O28" s="124"/>
      <c r="P28" s="124"/>
      <c r="Q28" s="124"/>
      <c r="R28" s="124"/>
      <c r="S28" s="118"/>
      <c r="T28" s="118"/>
      <c r="U28" s="118"/>
      <c r="V28" s="118"/>
      <c r="W28" s="124"/>
      <c r="X28" s="124"/>
      <c r="AK28" s="125"/>
      <c r="AO28" s="117"/>
      <c r="AP28" s="117"/>
      <c r="AQ28" s="117"/>
      <c r="AR28" s="117"/>
      <c r="AS28" s="117"/>
      <c r="BF28" s="127"/>
      <c r="BG28" s="127"/>
      <c r="BH28" s="127"/>
      <c r="BI28" s="127"/>
      <c r="BJ28" s="127"/>
      <c r="BK28" s="127"/>
      <c r="BL28" s="127" t="s">
        <v>272</v>
      </c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Z28" s="126"/>
      <c r="CG28" s="126"/>
      <c r="CJ28" s="125"/>
      <c r="CL28" s="125"/>
      <c r="CO28" s="118"/>
      <c r="CR28" s="130"/>
      <c r="CS28" s="131"/>
      <c r="CT28" s="131"/>
      <c r="CV28" s="131"/>
      <c r="CW28" s="131"/>
      <c r="DB28" s="124"/>
      <c r="DC28" s="124"/>
      <c r="DD28" s="124"/>
      <c r="DE28" s="124"/>
      <c r="DF28" s="124"/>
      <c r="DG28" s="124"/>
      <c r="DH28" s="124"/>
      <c r="DI28" s="124"/>
      <c r="DJ28" s="124"/>
      <c r="DK28" s="124"/>
      <c r="DL28" s="124"/>
      <c r="DM28" s="124"/>
      <c r="DN28" s="124"/>
      <c r="DO28" s="124"/>
      <c r="DP28" s="124"/>
      <c r="DQ28" s="124"/>
      <c r="DR28" s="124"/>
      <c r="DS28" s="124"/>
      <c r="DT28" s="124"/>
      <c r="DU28" s="124"/>
      <c r="DV28" s="124"/>
      <c r="DW28" s="124"/>
      <c r="DX28" s="124"/>
      <c r="DY28" s="124"/>
      <c r="DZ28" s="124"/>
      <c r="EA28" s="124"/>
      <c r="EB28" s="124"/>
      <c r="EC28" s="124"/>
      <c r="ED28" s="124"/>
      <c r="EE28" s="124"/>
    </row>
    <row r="29" spans="1:152" s="116" customFormat="1" ht="31.8" x14ac:dyDescent="0.55000000000000004">
      <c r="B29" s="117"/>
      <c r="C29" s="118"/>
      <c r="D29" s="127"/>
      <c r="E29" s="127"/>
      <c r="F29" s="127"/>
      <c r="G29" s="127"/>
      <c r="H29" s="127"/>
      <c r="I29" s="127"/>
      <c r="J29" s="133"/>
      <c r="K29" s="127" t="s">
        <v>273</v>
      </c>
      <c r="L29" s="123"/>
      <c r="M29" s="124"/>
      <c r="N29" s="124"/>
      <c r="O29" s="124"/>
      <c r="P29" s="124"/>
      <c r="Q29" s="124"/>
      <c r="R29" s="124"/>
      <c r="S29" s="118"/>
      <c r="T29" s="118"/>
      <c r="U29" s="118"/>
      <c r="V29" s="118"/>
      <c r="W29" s="127"/>
      <c r="X29" s="124"/>
      <c r="Y29" s="127" t="s">
        <v>274</v>
      </c>
      <c r="AK29" s="125"/>
      <c r="AO29" s="117"/>
      <c r="AP29" s="117"/>
      <c r="AQ29" s="117"/>
      <c r="AR29" s="117"/>
      <c r="AS29" s="117"/>
      <c r="BF29" s="117"/>
      <c r="BG29" s="117"/>
      <c r="BH29" s="117"/>
      <c r="BI29" s="117"/>
      <c r="BJ29" s="117"/>
      <c r="BK29" s="117"/>
      <c r="BL29" s="117" t="s">
        <v>275</v>
      </c>
      <c r="BM29" s="117"/>
      <c r="BN29" s="117"/>
      <c r="BO29" s="117"/>
      <c r="BP29" s="117"/>
      <c r="BQ29" s="117"/>
      <c r="BR29" s="117"/>
      <c r="BS29" s="117"/>
      <c r="BT29" s="117"/>
      <c r="BU29" s="117"/>
      <c r="BV29" s="117"/>
      <c r="CG29" s="126"/>
      <c r="CJ29" s="125"/>
      <c r="CL29" s="125"/>
      <c r="CO29" s="118"/>
      <c r="CR29" s="130"/>
      <c r="CS29" s="131"/>
      <c r="CT29" s="131"/>
      <c r="CV29" s="131"/>
      <c r="CW29" s="131"/>
      <c r="DB29" s="124"/>
      <c r="DC29" s="124"/>
      <c r="DD29" s="124"/>
      <c r="DE29" s="124"/>
      <c r="DF29" s="124"/>
      <c r="DG29" s="124"/>
      <c r="DH29" s="124"/>
      <c r="DI29" s="124"/>
      <c r="DJ29" s="124"/>
      <c r="DK29" s="124"/>
      <c r="DL29" s="124"/>
      <c r="DM29" s="124"/>
      <c r="DN29" s="124"/>
      <c r="DO29" s="124"/>
      <c r="DP29" s="124"/>
      <c r="DQ29" s="124"/>
      <c r="DR29" s="124"/>
      <c r="DS29" s="124"/>
      <c r="DT29" s="124"/>
      <c r="DU29" s="124"/>
      <c r="DV29" s="124"/>
      <c r="DW29" s="124"/>
      <c r="DX29" s="124"/>
      <c r="DY29" s="124"/>
      <c r="DZ29" s="124"/>
      <c r="EA29" s="124"/>
      <c r="EB29" s="124"/>
      <c r="EC29" s="124"/>
      <c r="ED29" s="124"/>
      <c r="EE29" s="124"/>
    </row>
    <row r="30" spans="1:152" s="116" customFormat="1" ht="30" customHeight="1" x14ac:dyDescent="0.55000000000000004">
      <c r="B30" s="117"/>
      <c r="C30" s="118"/>
      <c r="D30" s="127"/>
      <c r="E30" s="127"/>
      <c r="F30" s="127"/>
      <c r="G30" s="127"/>
      <c r="H30" s="127"/>
      <c r="I30" s="127"/>
      <c r="J30" s="133"/>
      <c r="K30" s="127" t="s">
        <v>276</v>
      </c>
      <c r="L30" s="123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7"/>
      <c r="X30" s="124"/>
      <c r="Y30" s="127" t="s">
        <v>277</v>
      </c>
      <c r="AK30" s="125"/>
      <c r="AO30" s="117"/>
      <c r="AP30" s="117"/>
      <c r="AQ30" s="117"/>
      <c r="AR30" s="117"/>
      <c r="AS30" s="117"/>
      <c r="BF30" s="117"/>
      <c r="BG30" s="117"/>
      <c r="BH30" s="117"/>
      <c r="BI30" s="117"/>
      <c r="BJ30" s="117"/>
      <c r="BK30" s="117"/>
      <c r="BL30" s="117" t="s">
        <v>278</v>
      </c>
      <c r="BM30" s="117"/>
      <c r="BN30" s="117"/>
      <c r="BO30" s="117"/>
      <c r="BP30" s="117"/>
      <c r="BQ30" s="117"/>
      <c r="BR30" s="117"/>
      <c r="BS30" s="117"/>
      <c r="BT30" s="117"/>
      <c r="BU30" s="117"/>
      <c r="BV30" s="117"/>
      <c r="CJ30" s="125"/>
      <c r="CL30" s="125"/>
      <c r="CR30" s="131"/>
      <c r="CS30" s="131"/>
      <c r="CT30" s="131"/>
      <c r="CV30" s="131"/>
      <c r="CW30" s="131"/>
      <c r="DB30" s="124"/>
      <c r="DC30" s="124"/>
      <c r="DD30" s="124"/>
      <c r="DE30" s="124"/>
      <c r="DF30" s="124"/>
      <c r="DG30" s="124"/>
      <c r="DH30" s="124"/>
      <c r="DI30" s="124"/>
      <c r="DJ30" s="124"/>
      <c r="DK30" s="124"/>
      <c r="DL30" s="124"/>
      <c r="DM30" s="124"/>
      <c r="DN30" s="124"/>
      <c r="DO30" s="124"/>
      <c r="DP30" s="124"/>
      <c r="DQ30" s="124"/>
      <c r="DR30" s="124"/>
      <c r="DS30" s="124"/>
      <c r="DT30" s="124"/>
      <c r="DU30" s="124"/>
      <c r="DV30" s="124"/>
      <c r="DW30" s="124"/>
      <c r="DX30" s="124"/>
      <c r="DY30" s="124"/>
      <c r="DZ30" s="124"/>
      <c r="EA30" s="124"/>
      <c r="EB30" s="124"/>
      <c r="EC30" s="124"/>
      <c r="ED30" s="124"/>
      <c r="EE30" s="124"/>
    </row>
    <row r="31" spans="1:152" s="116" customFormat="1" ht="31.8" x14ac:dyDescent="0.55000000000000004">
      <c r="B31" s="117"/>
      <c r="C31" s="118"/>
      <c r="D31" s="127"/>
      <c r="E31" s="127"/>
      <c r="F31" s="127"/>
      <c r="G31" s="127"/>
      <c r="H31" s="127"/>
      <c r="I31" s="127"/>
      <c r="J31" s="133"/>
      <c r="K31" s="127"/>
      <c r="L31" s="123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7"/>
      <c r="X31" s="124"/>
      <c r="Y31" s="127"/>
      <c r="AK31" s="125"/>
      <c r="AO31" s="117"/>
      <c r="AP31" s="117"/>
      <c r="AQ31" s="117"/>
      <c r="AR31" s="117"/>
      <c r="AS31" s="117"/>
      <c r="BF31" s="134"/>
      <c r="BG31" s="134"/>
      <c r="BH31" s="134"/>
      <c r="BI31" s="134"/>
      <c r="BJ31" s="134"/>
      <c r="BK31" s="117"/>
      <c r="BL31" s="134"/>
      <c r="BM31" s="134"/>
      <c r="BN31" s="134"/>
      <c r="BO31" s="134"/>
      <c r="BP31" s="135"/>
      <c r="BQ31" s="134"/>
      <c r="BR31" s="134"/>
      <c r="BS31" s="134"/>
      <c r="BT31" s="134"/>
      <c r="BU31" s="134"/>
      <c r="BV31" s="134"/>
      <c r="CJ31" s="125"/>
      <c r="CL31" s="125"/>
      <c r="CR31" s="131"/>
      <c r="CS31" s="131"/>
      <c r="CT31" s="131"/>
      <c r="CV31" s="131"/>
      <c r="CW31" s="131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4"/>
      <c r="DN31" s="124"/>
      <c r="DO31" s="124"/>
      <c r="DP31" s="124"/>
      <c r="DQ31" s="124"/>
      <c r="DR31" s="124"/>
      <c r="DS31" s="124"/>
      <c r="DT31" s="124"/>
      <c r="DU31" s="124"/>
      <c r="DV31" s="124"/>
      <c r="DW31" s="124"/>
      <c r="DX31" s="124"/>
      <c r="DY31" s="124"/>
      <c r="DZ31" s="124"/>
      <c r="EA31" s="124"/>
      <c r="EB31" s="124"/>
      <c r="EC31" s="124"/>
      <c r="ED31" s="124"/>
      <c r="EE31" s="124"/>
    </row>
    <row r="32" spans="1:152" s="116" customFormat="1" ht="31.8" x14ac:dyDescent="0.55000000000000004">
      <c r="B32" s="117"/>
      <c r="C32" s="118"/>
      <c r="D32" s="127"/>
      <c r="E32" s="127"/>
      <c r="F32" s="127"/>
      <c r="G32" s="127"/>
      <c r="H32" s="127"/>
      <c r="I32" s="127"/>
      <c r="J32" s="133"/>
      <c r="K32" s="127"/>
      <c r="L32" s="123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7"/>
      <c r="X32" s="124"/>
      <c r="Y32" s="127"/>
      <c r="AK32" s="125"/>
      <c r="AL32" s="136"/>
      <c r="AM32" s="136"/>
      <c r="AN32" s="136"/>
      <c r="AO32" s="117"/>
      <c r="AP32" s="117"/>
      <c r="AQ32" s="117"/>
      <c r="AR32" s="117"/>
      <c r="AS32" s="117"/>
      <c r="BF32" s="134"/>
      <c r="BG32" s="134"/>
      <c r="BH32" s="134"/>
      <c r="BI32" s="134"/>
      <c r="BJ32" s="134"/>
      <c r="BK32" s="117"/>
      <c r="BL32" s="134"/>
      <c r="BM32" s="134"/>
      <c r="BN32" s="134"/>
      <c r="BO32" s="134"/>
      <c r="BP32" s="135"/>
      <c r="BQ32" s="134"/>
      <c r="BR32" s="134"/>
      <c r="BS32" s="134"/>
      <c r="BT32" s="134"/>
      <c r="BU32" s="134"/>
      <c r="BV32" s="134"/>
      <c r="CH32" s="126"/>
      <c r="CJ32" s="125"/>
      <c r="CL32" s="125"/>
      <c r="CR32" s="131"/>
      <c r="CS32" s="131"/>
      <c r="CT32" s="131"/>
      <c r="CV32" s="131"/>
      <c r="CW32" s="131"/>
      <c r="CX32" s="136"/>
      <c r="CY32" s="136"/>
      <c r="CZ32" s="136"/>
      <c r="DA32" s="136"/>
      <c r="DB32" s="124"/>
      <c r="DC32" s="124"/>
      <c r="DD32" s="124"/>
      <c r="DE32" s="124"/>
      <c r="DF32" s="124"/>
      <c r="DG32" s="124"/>
      <c r="DH32" s="124"/>
      <c r="DI32" s="124"/>
      <c r="DJ32" s="124"/>
      <c r="DK32" s="124"/>
      <c r="DL32" s="124"/>
      <c r="DM32" s="124"/>
      <c r="DN32" s="124"/>
      <c r="DO32" s="124"/>
      <c r="DP32" s="124"/>
      <c r="DQ32" s="124"/>
      <c r="DR32" s="124"/>
      <c r="DS32" s="124"/>
      <c r="DT32" s="124"/>
      <c r="DU32" s="124"/>
      <c r="DV32" s="124"/>
      <c r="DW32" s="124"/>
      <c r="DX32" s="124"/>
      <c r="DY32" s="124"/>
      <c r="DZ32" s="124"/>
      <c r="EA32" s="124"/>
      <c r="EB32" s="124"/>
      <c r="EC32" s="124"/>
      <c r="ED32" s="124"/>
      <c r="EE32" s="124"/>
      <c r="EF32" s="136"/>
      <c r="EG32" s="136"/>
      <c r="EH32" s="136"/>
      <c r="EI32" s="136"/>
      <c r="EJ32" s="136"/>
      <c r="EK32" s="136"/>
      <c r="EL32" s="136"/>
      <c r="EM32" s="136"/>
      <c r="EN32" s="136"/>
      <c r="EO32" s="136"/>
      <c r="EP32" s="136"/>
    </row>
    <row r="33" spans="2:135" s="116" customFormat="1" ht="31.8" x14ac:dyDescent="0.55000000000000004">
      <c r="B33" s="117"/>
      <c r="C33" s="118"/>
      <c r="D33" s="127"/>
      <c r="E33" s="127"/>
      <c r="F33" s="127"/>
      <c r="G33" s="127"/>
      <c r="H33" s="127"/>
      <c r="I33" s="127"/>
      <c r="J33" s="133"/>
      <c r="K33" s="127"/>
      <c r="L33" s="123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7"/>
      <c r="X33" s="124"/>
      <c r="Y33" s="127"/>
      <c r="AK33" s="125"/>
      <c r="AO33" s="117"/>
      <c r="AP33" s="117"/>
      <c r="AQ33" s="117"/>
      <c r="AR33" s="117"/>
      <c r="AS33" s="117"/>
      <c r="BF33" s="134"/>
      <c r="BG33" s="134"/>
      <c r="BH33" s="134"/>
      <c r="BI33" s="134"/>
      <c r="BJ33" s="134"/>
      <c r="BK33" s="117"/>
      <c r="BL33" s="134"/>
      <c r="BM33" s="134"/>
      <c r="BN33" s="134"/>
      <c r="BO33" s="134"/>
      <c r="BP33" s="135"/>
      <c r="BQ33" s="134"/>
      <c r="BR33" s="134"/>
      <c r="BS33" s="134"/>
      <c r="BT33" s="134"/>
      <c r="BU33" s="134"/>
      <c r="BV33" s="134"/>
      <c r="CJ33" s="125"/>
      <c r="CL33" s="125"/>
      <c r="CR33" s="131"/>
      <c r="CS33" s="131"/>
      <c r="CT33" s="131"/>
      <c r="CV33" s="131"/>
      <c r="CW33" s="131"/>
      <c r="DB33" s="124"/>
      <c r="DC33" s="124"/>
      <c r="DD33" s="124"/>
      <c r="DE33" s="124"/>
      <c r="DF33" s="124"/>
      <c r="DG33" s="124"/>
      <c r="DH33" s="124"/>
      <c r="DI33" s="124"/>
      <c r="DJ33" s="124"/>
      <c r="DK33" s="124"/>
      <c r="DL33" s="124"/>
      <c r="DM33" s="124"/>
      <c r="DN33" s="124"/>
      <c r="DO33" s="124"/>
      <c r="DP33" s="124"/>
      <c r="DQ33" s="124"/>
      <c r="DR33" s="124"/>
      <c r="DS33" s="124"/>
      <c r="DT33" s="124"/>
      <c r="DU33" s="124"/>
      <c r="DV33" s="124"/>
      <c r="DW33" s="124"/>
      <c r="DX33" s="124"/>
      <c r="DY33" s="124"/>
      <c r="DZ33" s="124"/>
      <c r="EA33" s="124"/>
      <c r="EB33" s="124"/>
      <c r="EC33" s="124"/>
      <c r="ED33" s="124"/>
      <c r="EE33" s="124"/>
    </row>
    <row r="34" spans="2:135" s="116" customFormat="1" ht="26.85" customHeight="1" x14ac:dyDescent="0.55000000000000004">
      <c r="B34" s="117"/>
      <c r="C34" s="118"/>
      <c r="D34" s="127"/>
      <c r="E34" s="127"/>
      <c r="F34" s="127"/>
      <c r="G34" s="127"/>
      <c r="H34" s="127"/>
      <c r="I34" s="127"/>
      <c r="J34" s="133"/>
      <c r="K34" s="127"/>
      <c r="L34" s="123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7"/>
      <c r="X34" s="124"/>
      <c r="Y34" s="127"/>
      <c r="AJ34" s="124"/>
      <c r="AK34" s="125"/>
      <c r="AO34" s="117"/>
      <c r="AP34" s="117"/>
      <c r="AQ34" s="117"/>
      <c r="AR34" s="117"/>
      <c r="AS34" s="117"/>
      <c r="BF34" s="134"/>
      <c r="BG34" s="134"/>
      <c r="BH34" s="134"/>
      <c r="BI34" s="134"/>
      <c r="BJ34" s="134"/>
      <c r="BK34" s="117"/>
      <c r="BL34" s="134"/>
      <c r="BM34" s="134"/>
      <c r="BN34" s="134"/>
      <c r="BO34" s="134"/>
      <c r="BP34" s="135"/>
      <c r="BQ34" s="134"/>
      <c r="BR34" s="134"/>
      <c r="BS34" s="134"/>
      <c r="BT34" s="134"/>
      <c r="BU34" s="134"/>
      <c r="BV34" s="134"/>
      <c r="CJ34" s="125"/>
      <c r="CL34" s="125"/>
      <c r="CR34" s="131"/>
      <c r="CS34" s="131"/>
      <c r="CT34" s="131"/>
      <c r="CV34" s="131"/>
      <c r="CW34" s="131"/>
      <c r="DB34" s="124"/>
      <c r="DC34" s="124"/>
      <c r="DD34" s="124"/>
      <c r="DE34" s="124"/>
      <c r="DF34" s="124"/>
      <c r="DG34" s="124"/>
      <c r="DH34" s="124"/>
      <c r="DI34" s="124"/>
      <c r="DJ34" s="124"/>
      <c r="DK34" s="124"/>
      <c r="DL34" s="124"/>
      <c r="DM34" s="124"/>
      <c r="DN34" s="124"/>
      <c r="DO34" s="124"/>
      <c r="DP34" s="124"/>
      <c r="DQ34" s="124"/>
      <c r="DR34" s="124"/>
      <c r="DS34" s="124"/>
      <c r="DT34" s="124"/>
      <c r="DU34" s="124"/>
      <c r="DV34" s="124"/>
      <c r="DW34" s="124"/>
      <c r="DX34" s="124"/>
      <c r="DY34" s="124"/>
      <c r="DZ34" s="124"/>
      <c r="EA34" s="124"/>
      <c r="EB34" s="124"/>
      <c r="EC34" s="124"/>
      <c r="ED34" s="124"/>
      <c r="EE34" s="124"/>
    </row>
    <row r="35" spans="2:135" s="116" customFormat="1" ht="31.8" x14ac:dyDescent="0.55000000000000004">
      <c r="B35" s="117"/>
      <c r="C35" s="118"/>
      <c r="D35" s="127"/>
      <c r="E35" s="127"/>
      <c r="F35" s="127"/>
      <c r="G35" s="127"/>
      <c r="H35" s="127"/>
      <c r="J35" s="137"/>
      <c r="K35" s="127" t="s">
        <v>279</v>
      </c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7"/>
      <c r="X35" s="124"/>
      <c r="Y35" s="127" t="s">
        <v>280</v>
      </c>
      <c r="AK35" s="125"/>
      <c r="AO35" s="117"/>
      <c r="AP35" s="117"/>
      <c r="AQ35" s="117"/>
      <c r="AR35" s="117"/>
      <c r="AS35" s="117"/>
      <c r="BF35" s="117"/>
      <c r="BG35" s="117"/>
      <c r="BH35" s="117"/>
      <c r="BI35" s="117"/>
      <c r="BJ35" s="117"/>
      <c r="BK35" s="117"/>
      <c r="BL35" s="117" t="s">
        <v>281</v>
      </c>
      <c r="BM35" s="117"/>
      <c r="BN35" s="117"/>
      <c r="BO35" s="117"/>
      <c r="BP35" s="117"/>
      <c r="BQ35" s="117"/>
      <c r="BR35" s="117"/>
      <c r="BS35" s="117"/>
      <c r="BT35" s="117"/>
      <c r="BU35" s="117"/>
      <c r="BV35" s="117"/>
      <c r="CJ35" s="125"/>
      <c r="CL35" s="125"/>
      <c r="CR35" s="131"/>
      <c r="CS35" s="131"/>
      <c r="CT35" s="131"/>
      <c r="CV35" s="131"/>
      <c r="CW35" s="131"/>
      <c r="DB35" s="124"/>
      <c r="DC35" s="124"/>
      <c r="DD35" s="124"/>
      <c r="DE35" s="124"/>
      <c r="DF35" s="124"/>
      <c r="DG35" s="124"/>
      <c r="DH35" s="124"/>
      <c r="DI35" s="124"/>
      <c r="DJ35" s="124"/>
      <c r="DK35" s="124"/>
      <c r="DL35" s="124"/>
      <c r="DM35" s="124"/>
      <c r="DN35" s="124"/>
      <c r="DO35" s="124"/>
      <c r="DP35" s="124"/>
      <c r="DQ35" s="124"/>
      <c r="DR35" s="124"/>
      <c r="DS35" s="124"/>
      <c r="DT35" s="124"/>
      <c r="DU35" s="124"/>
      <c r="DV35" s="124"/>
      <c r="DW35" s="124"/>
      <c r="DX35" s="124"/>
      <c r="DY35" s="124"/>
      <c r="DZ35" s="124"/>
      <c r="EA35" s="124"/>
      <c r="EB35" s="124"/>
      <c r="EC35" s="124"/>
      <c r="ED35" s="124"/>
      <c r="EE35" s="124"/>
    </row>
    <row r="36" spans="2:135" s="116" customFormat="1" ht="31.8" x14ac:dyDescent="0.55000000000000004">
      <c r="B36" s="117"/>
      <c r="C36" s="118"/>
      <c r="D36" s="138"/>
      <c r="E36" s="138"/>
      <c r="F36" s="138"/>
      <c r="G36" s="138"/>
      <c r="J36" s="137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AK36" s="125"/>
      <c r="AO36" s="117"/>
      <c r="AP36" s="117"/>
      <c r="AQ36" s="117"/>
      <c r="AR36" s="117"/>
      <c r="AS36" s="117"/>
      <c r="BG36" s="124"/>
      <c r="CJ36" s="125"/>
      <c r="CL36" s="125"/>
      <c r="CR36" s="131"/>
      <c r="CS36" s="131"/>
      <c r="CT36" s="131"/>
      <c r="CV36" s="131"/>
      <c r="CW36" s="131"/>
      <c r="DB36" s="124"/>
      <c r="DC36" s="124"/>
      <c r="DD36" s="124"/>
      <c r="DE36" s="124"/>
      <c r="DF36" s="124"/>
      <c r="DG36" s="124"/>
      <c r="DH36" s="124"/>
      <c r="DI36" s="124"/>
      <c r="DJ36" s="124"/>
      <c r="DK36" s="124"/>
      <c r="DL36" s="124"/>
      <c r="DM36" s="124"/>
      <c r="DN36" s="124"/>
      <c r="DO36" s="124"/>
      <c r="DP36" s="124"/>
      <c r="DQ36" s="124"/>
      <c r="DR36" s="124"/>
      <c r="DS36" s="124"/>
      <c r="DT36" s="124"/>
      <c r="DU36" s="124"/>
      <c r="DV36" s="124"/>
      <c r="DW36" s="124"/>
      <c r="DX36" s="124"/>
      <c r="DY36" s="124"/>
      <c r="DZ36" s="124"/>
      <c r="EA36" s="124"/>
      <c r="EB36" s="124"/>
      <c r="EC36" s="124"/>
      <c r="ED36" s="124"/>
      <c r="EE36" s="124"/>
    </row>
    <row r="37" spans="2:135" s="142" customFormat="1" ht="25.2" x14ac:dyDescent="0.45">
      <c r="B37" s="139"/>
      <c r="C37" s="140"/>
      <c r="D37" s="141"/>
      <c r="E37" s="141"/>
      <c r="F37" s="141"/>
      <c r="G37" s="141"/>
      <c r="J37" s="143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AK37" s="145"/>
      <c r="AO37" s="139"/>
      <c r="AP37" s="139"/>
      <c r="AQ37" s="139"/>
      <c r="AR37" s="139"/>
      <c r="AS37" s="139"/>
      <c r="BG37" s="144"/>
      <c r="CJ37" s="145"/>
      <c r="CL37" s="145"/>
      <c r="CR37" s="146"/>
      <c r="CS37" s="146"/>
      <c r="CT37" s="146"/>
      <c r="CV37" s="146"/>
      <c r="CW37" s="146"/>
      <c r="DB37" s="144"/>
      <c r="DC37" s="144"/>
      <c r="DD37" s="144"/>
      <c r="DE37" s="144"/>
      <c r="DF37" s="144"/>
      <c r="DG37" s="144"/>
      <c r="DH37" s="144"/>
      <c r="DI37" s="144"/>
      <c r="DJ37" s="144"/>
      <c r="DK37" s="144"/>
      <c r="DL37" s="144"/>
      <c r="DM37" s="144"/>
      <c r="DN37" s="144"/>
      <c r="DO37" s="144"/>
      <c r="DP37" s="144"/>
      <c r="DQ37" s="144"/>
      <c r="DR37" s="144"/>
      <c r="DS37" s="144"/>
      <c r="DT37" s="144"/>
      <c r="DU37" s="144"/>
      <c r="DV37" s="144"/>
      <c r="DW37" s="144"/>
      <c r="DX37" s="144"/>
      <c r="DY37" s="144"/>
      <c r="DZ37" s="144"/>
      <c r="EA37" s="144"/>
      <c r="EB37" s="144"/>
      <c r="EC37" s="144"/>
      <c r="ED37" s="144"/>
      <c r="EE37" s="144"/>
    </row>
    <row r="38" spans="2:135" s="142" customFormat="1" ht="25.2" x14ac:dyDescent="0.45">
      <c r="B38" s="139"/>
      <c r="C38" s="140"/>
      <c r="D38" s="141"/>
      <c r="E38" s="141"/>
      <c r="F38" s="141"/>
      <c r="G38" s="141"/>
      <c r="J38" s="143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AK38" s="145"/>
      <c r="AO38" s="139"/>
      <c r="AP38" s="139"/>
      <c r="AQ38" s="139"/>
      <c r="AR38" s="139"/>
      <c r="AS38" s="139"/>
      <c r="BG38" s="144"/>
      <c r="CJ38" s="145"/>
      <c r="CL38" s="145"/>
      <c r="CR38" s="146"/>
      <c r="CS38" s="146"/>
      <c r="CT38" s="146"/>
      <c r="CV38" s="146"/>
      <c r="CW38" s="146"/>
      <c r="DB38" s="144"/>
      <c r="DC38" s="144"/>
      <c r="DD38" s="144"/>
      <c r="DE38" s="144"/>
      <c r="DF38" s="144"/>
      <c r="DG38" s="144"/>
      <c r="DH38" s="144"/>
      <c r="DI38" s="144"/>
      <c r="DJ38" s="144"/>
      <c r="DK38" s="144"/>
      <c r="DL38" s="144"/>
      <c r="DM38" s="144"/>
      <c r="DN38" s="144"/>
      <c r="DO38" s="144"/>
      <c r="DP38" s="144"/>
      <c r="DQ38" s="144"/>
      <c r="DR38" s="144"/>
      <c r="DS38" s="144"/>
      <c r="DT38" s="144"/>
      <c r="DU38" s="144"/>
      <c r="DV38" s="144"/>
      <c r="DW38" s="144"/>
      <c r="DX38" s="144"/>
      <c r="DY38" s="144"/>
      <c r="DZ38" s="144"/>
      <c r="EA38" s="144"/>
      <c r="EB38" s="144"/>
      <c r="EC38" s="144"/>
      <c r="ED38" s="144"/>
      <c r="EE38" s="144"/>
    </row>
    <row r="39" spans="2:135" s="142" customFormat="1" ht="25.2" x14ac:dyDescent="0.45">
      <c r="B39" s="139"/>
      <c r="C39" s="140"/>
      <c r="D39" s="141"/>
      <c r="E39" s="141"/>
      <c r="F39" s="141"/>
      <c r="G39" s="141"/>
      <c r="J39" s="143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AK39" s="145"/>
      <c r="AO39" s="139"/>
      <c r="AP39" s="139"/>
      <c r="AQ39" s="139"/>
      <c r="AR39" s="139"/>
      <c r="AS39" s="139"/>
      <c r="BG39" s="144"/>
      <c r="CJ39" s="145"/>
      <c r="CL39" s="145"/>
      <c r="CR39" s="146"/>
      <c r="CS39" s="146"/>
      <c r="CT39" s="146"/>
      <c r="CV39" s="146"/>
      <c r="CW39" s="146"/>
      <c r="DB39" s="144"/>
      <c r="DC39" s="144"/>
      <c r="DD39" s="144"/>
      <c r="DE39" s="144"/>
      <c r="DF39" s="144"/>
      <c r="DG39" s="144"/>
      <c r="DH39" s="144"/>
      <c r="DI39" s="144"/>
      <c r="DJ39" s="144"/>
      <c r="DK39" s="144"/>
      <c r="DL39" s="144"/>
      <c r="DM39" s="144"/>
      <c r="DN39" s="144"/>
      <c r="DO39" s="144"/>
      <c r="DP39" s="144"/>
      <c r="DQ39" s="144"/>
      <c r="DR39" s="144"/>
      <c r="DS39" s="144"/>
      <c r="DT39" s="144"/>
      <c r="DU39" s="144"/>
      <c r="DV39" s="144"/>
      <c r="DW39" s="144"/>
      <c r="DX39" s="144"/>
      <c r="DY39" s="144"/>
      <c r="DZ39" s="144"/>
      <c r="EA39" s="144"/>
      <c r="EB39" s="144"/>
      <c r="EC39" s="144"/>
      <c r="ED39" s="144"/>
      <c r="EE39" s="144"/>
    </row>
    <row r="40" spans="2:135" s="142" customFormat="1" ht="25.2" x14ac:dyDescent="0.45">
      <c r="B40" s="139"/>
      <c r="C40" s="140"/>
      <c r="D40" s="141"/>
      <c r="E40" s="141"/>
      <c r="F40" s="141"/>
      <c r="G40" s="141"/>
      <c r="J40" s="143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AK40" s="145"/>
      <c r="AO40" s="139"/>
      <c r="AP40" s="139"/>
      <c r="AQ40" s="139"/>
      <c r="AR40" s="139"/>
      <c r="AS40" s="139"/>
      <c r="BG40" s="144"/>
      <c r="CJ40" s="145"/>
      <c r="CL40" s="145"/>
      <c r="CR40" s="146"/>
      <c r="CS40" s="146"/>
      <c r="CT40" s="146"/>
      <c r="CV40" s="146"/>
      <c r="CW40" s="146"/>
      <c r="DB40" s="144"/>
      <c r="DC40" s="144"/>
      <c r="DD40" s="144"/>
      <c r="DE40" s="144"/>
      <c r="DF40" s="144"/>
      <c r="DG40" s="144"/>
      <c r="DH40" s="144"/>
      <c r="DI40" s="144"/>
      <c r="DJ40" s="144"/>
      <c r="DK40" s="144"/>
      <c r="DL40" s="144"/>
      <c r="DM40" s="144"/>
      <c r="DN40" s="144"/>
      <c r="DO40" s="144"/>
      <c r="DP40" s="144"/>
      <c r="DQ40" s="144"/>
      <c r="DR40" s="144"/>
      <c r="DS40" s="144"/>
      <c r="DT40" s="144"/>
      <c r="DU40" s="144"/>
      <c r="DV40" s="144"/>
      <c r="DW40" s="144"/>
      <c r="DX40" s="144"/>
      <c r="DY40" s="144"/>
      <c r="DZ40" s="144"/>
      <c r="EA40" s="144"/>
      <c r="EB40" s="144"/>
      <c r="EC40" s="144"/>
      <c r="ED40" s="144"/>
      <c r="EE40" s="144"/>
    </row>
    <row r="41" spans="2:135" s="142" customFormat="1" ht="25.2" x14ac:dyDescent="0.45">
      <c r="B41" s="139"/>
      <c r="C41" s="140"/>
      <c r="D41" s="141"/>
      <c r="E41" s="141"/>
      <c r="F41" s="141"/>
      <c r="G41" s="141"/>
      <c r="J41" s="143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AK41" s="145"/>
      <c r="AO41" s="139"/>
      <c r="AP41" s="139"/>
      <c r="AQ41" s="139"/>
      <c r="AR41" s="139"/>
      <c r="AS41" s="139"/>
      <c r="BG41" s="144"/>
      <c r="CJ41" s="145"/>
      <c r="CL41" s="145"/>
      <c r="CR41" s="146"/>
      <c r="CS41" s="146"/>
      <c r="CT41" s="146"/>
      <c r="CV41" s="146"/>
      <c r="CW41" s="146"/>
      <c r="DB41" s="144"/>
      <c r="DC41" s="144"/>
      <c r="DD41" s="144"/>
      <c r="DE41" s="144"/>
      <c r="DF41" s="144"/>
      <c r="DG41" s="144"/>
      <c r="DH41" s="144"/>
      <c r="DI41" s="144"/>
      <c r="DJ41" s="144"/>
      <c r="DK41" s="144"/>
      <c r="DL41" s="144"/>
      <c r="DM41" s="144"/>
      <c r="DN41" s="144"/>
      <c r="DO41" s="144"/>
      <c r="DP41" s="144"/>
      <c r="DQ41" s="144"/>
      <c r="DR41" s="144"/>
      <c r="DS41" s="144"/>
      <c r="DT41" s="144"/>
      <c r="DU41" s="144"/>
      <c r="DV41" s="144"/>
      <c r="DW41" s="144"/>
      <c r="DX41" s="144"/>
      <c r="DY41" s="144"/>
      <c r="DZ41" s="144"/>
      <c r="EA41" s="144"/>
      <c r="EB41" s="144"/>
      <c r="EC41" s="144"/>
      <c r="ED41" s="144"/>
      <c r="EE41" s="144"/>
    </row>
    <row r="42" spans="2:135" s="142" customFormat="1" ht="25.2" x14ac:dyDescent="0.45">
      <c r="B42" s="139"/>
      <c r="C42" s="140"/>
      <c r="D42" s="141"/>
      <c r="E42" s="141"/>
      <c r="F42" s="141"/>
      <c r="G42" s="141"/>
      <c r="J42" s="143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AK42" s="145"/>
      <c r="AO42" s="139"/>
      <c r="AP42" s="139"/>
      <c r="AQ42" s="139"/>
      <c r="AR42" s="139"/>
      <c r="AS42" s="139"/>
      <c r="BG42" s="144"/>
      <c r="CJ42" s="145"/>
      <c r="CL42" s="145"/>
      <c r="CR42" s="146"/>
      <c r="CS42" s="146"/>
      <c r="CT42" s="146"/>
      <c r="CV42" s="146"/>
      <c r="CW42" s="146"/>
      <c r="DB42" s="144"/>
      <c r="DC42" s="144"/>
      <c r="DD42" s="144"/>
      <c r="DE42" s="144"/>
      <c r="DF42" s="144"/>
      <c r="DG42" s="144"/>
      <c r="DH42" s="144"/>
      <c r="DI42" s="144"/>
      <c r="DJ42" s="144"/>
      <c r="DK42" s="144"/>
      <c r="DL42" s="144"/>
      <c r="DM42" s="144"/>
      <c r="DN42" s="144"/>
      <c r="DO42" s="144"/>
      <c r="DP42" s="144"/>
      <c r="DQ42" s="144"/>
      <c r="DR42" s="144"/>
      <c r="DS42" s="144"/>
      <c r="DT42" s="144"/>
      <c r="DU42" s="144"/>
      <c r="DV42" s="144"/>
      <c r="DW42" s="144"/>
      <c r="DX42" s="144"/>
      <c r="DY42" s="144"/>
      <c r="DZ42" s="144"/>
      <c r="EA42" s="144"/>
      <c r="EB42" s="144"/>
      <c r="EC42" s="144"/>
      <c r="ED42" s="144"/>
      <c r="EE42" s="144"/>
    </row>
    <row r="43" spans="2:135" s="142" customFormat="1" ht="25.2" x14ac:dyDescent="0.45">
      <c r="B43" s="139"/>
      <c r="C43" s="140"/>
      <c r="D43" s="141"/>
      <c r="E43" s="141"/>
      <c r="F43" s="141"/>
      <c r="G43" s="141"/>
      <c r="J43" s="143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AK43" s="145"/>
      <c r="AO43" s="139"/>
      <c r="AP43" s="139"/>
      <c r="AQ43" s="139"/>
      <c r="AR43" s="139"/>
      <c r="AS43" s="139"/>
      <c r="BG43" s="144"/>
      <c r="CJ43" s="145"/>
      <c r="CL43" s="145"/>
      <c r="CR43" s="146"/>
      <c r="CS43" s="146"/>
      <c r="CT43" s="146"/>
      <c r="CV43" s="146"/>
      <c r="CW43" s="146"/>
      <c r="DB43" s="144"/>
      <c r="DC43" s="144"/>
      <c r="DD43" s="144"/>
      <c r="DE43" s="144"/>
      <c r="DF43" s="144"/>
      <c r="DG43" s="144"/>
      <c r="DH43" s="144"/>
      <c r="DI43" s="144"/>
      <c r="DJ43" s="144"/>
      <c r="DK43" s="144"/>
      <c r="DL43" s="144"/>
      <c r="DM43" s="144"/>
      <c r="DN43" s="144"/>
      <c r="DO43" s="144"/>
      <c r="DP43" s="144"/>
      <c r="DQ43" s="144"/>
      <c r="DR43" s="144"/>
      <c r="DS43" s="144"/>
      <c r="DT43" s="144"/>
      <c r="DU43" s="144"/>
      <c r="DV43" s="144"/>
      <c r="DW43" s="144"/>
      <c r="DX43" s="144"/>
      <c r="DY43" s="144"/>
      <c r="DZ43" s="144"/>
      <c r="EA43" s="144"/>
      <c r="EB43" s="144"/>
      <c r="EC43" s="144"/>
      <c r="ED43" s="144"/>
      <c r="EE43" s="144"/>
    </row>
    <row r="44" spans="2:135" s="142" customFormat="1" ht="25.2" x14ac:dyDescent="0.45">
      <c r="B44" s="139"/>
      <c r="C44" s="140"/>
      <c r="D44" s="141"/>
      <c r="E44" s="141"/>
      <c r="F44" s="141"/>
      <c r="G44" s="141"/>
      <c r="J44" s="143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AK44" s="145"/>
      <c r="AO44" s="139"/>
      <c r="AP44" s="139"/>
      <c r="AQ44" s="139"/>
      <c r="AR44" s="139"/>
      <c r="AS44" s="139"/>
      <c r="BG44" s="144"/>
      <c r="CJ44" s="145"/>
      <c r="CL44" s="145"/>
      <c r="CR44" s="146"/>
      <c r="CS44" s="146"/>
      <c r="CT44" s="146"/>
      <c r="CV44" s="146"/>
      <c r="CW44" s="146"/>
      <c r="DB44" s="144"/>
      <c r="DC44" s="144"/>
      <c r="DD44" s="144"/>
      <c r="DE44" s="144"/>
      <c r="DF44" s="144"/>
      <c r="DG44" s="144"/>
      <c r="DH44" s="144"/>
      <c r="DI44" s="144"/>
      <c r="DJ44" s="144"/>
      <c r="DK44" s="144"/>
      <c r="DL44" s="144"/>
      <c r="DM44" s="144"/>
      <c r="DN44" s="144"/>
      <c r="DO44" s="144"/>
      <c r="DP44" s="144"/>
      <c r="DQ44" s="144"/>
      <c r="DR44" s="144"/>
      <c r="DS44" s="144"/>
      <c r="DT44" s="144"/>
      <c r="DU44" s="144"/>
      <c r="DV44" s="144"/>
      <c r="DW44" s="144"/>
      <c r="DX44" s="144"/>
      <c r="DY44" s="144"/>
      <c r="DZ44" s="144"/>
      <c r="EA44" s="144"/>
      <c r="EB44" s="144"/>
      <c r="EC44" s="144"/>
      <c r="ED44" s="144"/>
      <c r="EE44" s="144"/>
    </row>
    <row r="45" spans="2:135" s="142" customFormat="1" ht="25.2" x14ac:dyDescent="0.45">
      <c r="B45" s="139"/>
      <c r="C45" s="140"/>
      <c r="D45" s="141"/>
      <c r="E45" s="141"/>
      <c r="F45" s="141"/>
      <c r="G45" s="141"/>
      <c r="J45" s="143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AK45" s="145"/>
      <c r="AO45" s="139"/>
      <c r="AP45" s="139"/>
      <c r="AQ45" s="139"/>
      <c r="AR45" s="139"/>
      <c r="AS45" s="139"/>
      <c r="BG45" s="144"/>
      <c r="CJ45" s="145"/>
      <c r="CL45" s="145"/>
      <c r="CR45" s="146"/>
      <c r="CS45" s="146"/>
      <c r="CT45" s="146"/>
      <c r="CV45" s="146"/>
      <c r="CW45" s="146"/>
      <c r="DB45" s="144"/>
      <c r="DC45" s="144"/>
      <c r="DD45" s="144"/>
      <c r="DE45" s="144"/>
      <c r="DF45" s="144"/>
      <c r="DG45" s="144"/>
      <c r="DH45" s="144"/>
      <c r="DI45" s="144"/>
      <c r="DJ45" s="144"/>
      <c r="DK45" s="144"/>
      <c r="DL45" s="144"/>
      <c r="DM45" s="144"/>
      <c r="DN45" s="144"/>
      <c r="DO45" s="144"/>
      <c r="DP45" s="144"/>
      <c r="DQ45" s="144"/>
      <c r="DR45" s="144"/>
      <c r="DS45" s="144"/>
      <c r="DT45" s="144"/>
      <c r="DU45" s="144"/>
      <c r="DV45" s="144"/>
      <c r="DW45" s="144"/>
      <c r="DX45" s="144"/>
      <c r="DY45" s="144"/>
      <c r="DZ45" s="144"/>
      <c r="EA45" s="144"/>
      <c r="EB45" s="144"/>
      <c r="EC45" s="144"/>
      <c r="ED45" s="144"/>
      <c r="EE45" s="144"/>
    </row>
    <row r="46" spans="2:135" s="142" customFormat="1" ht="25.2" x14ac:dyDescent="0.45">
      <c r="B46" s="139"/>
      <c r="C46" s="140"/>
      <c r="D46" s="141"/>
      <c r="E46" s="141"/>
      <c r="F46" s="141"/>
      <c r="G46" s="141"/>
      <c r="J46" s="143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AK46" s="145"/>
      <c r="AO46" s="139"/>
      <c r="AP46" s="139"/>
      <c r="AQ46" s="139"/>
      <c r="AR46" s="139"/>
      <c r="AS46" s="139"/>
      <c r="BG46" s="144"/>
      <c r="CJ46" s="145"/>
      <c r="CL46" s="145"/>
      <c r="CR46" s="146"/>
      <c r="CS46" s="146"/>
      <c r="CT46" s="146"/>
      <c r="CV46" s="146"/>
      <c r="CW46" s="146"/>
      <c r="DB46" s="144"/>
      <c r="DC46" s="144"/>
      <c r="DD46" s="144"/>
      <c r="DE46" s="144"/>
      <c r="DF46" s="144"/>
      <c r="DG46" s="144"/>
      <c r="DH46" s="144"/>
      <c r="DI46" s="144"/>
      <c r="DJ46" s="144"/>
      <c r="DK46" s="144"/>
      <c r="DL46" s="144"/>
      <c r="DM46" s="144"/>
      <c r="DN46" s="144"/>
      <c r="DO46" s="144"/>
      <c r="DP46" s="144"/>
      <c r="DQ46" s="144"/>
      <c r="DR46" s="144"/>
      <c r="DS46" s="144"/>
      <c r="DT46" s="144"/>
      <c r="DU46" s="144"/>
      <c r="DV46" s="144"/>
      <c r="DW46" s="144"/>
      <c r="DX46" s="144"/>
      <c r="DY46" s="144"/>
      <c r="DZ46" s="144"/>
      <c r="EA46" s="144"/>
      <c r="EB46" s="144"/>
      <c r="EC46" s="144"/>
      <c r="ED46" s="144"/>
      <c r="EE46" s="144"/>
    </row>
    <row r="47" spans="2:135" s="142" customFormat="1" ht="25.2" x14ac:dyDescent="0.45">
      <c r="B47" s="139"/>
      <c r="C47" s="140"/>
      <c r="D47" s="141"/>
      <c r="E47" s="141"/>
      <c r="F47" s="141"/>
      <c r="G47" s="141"/>
      <c r="J47" s="143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AK47" s="145"/>
      <c r="AO47" s="139"/>
      <c r="AP47" s="139"/>
      <c r="AQ47" s="139"/>
      <c r="AR47" s="139"/>
      <c r="AS47" s="139"/>
      <c r="BG47" s="144"/>
      <c r="CJ47" s="145"/>
      <c r="CL47" s="145"/>
      <c r="CR47" s="146"/>
      <c r="CS47" s="146"/>
      <c r="CT47" s="146"/>
      <c r="CV47" s="146"/>
      <c r="CW47" s="146"/>
      <c r="DB47" s="144"/>
      <c r="DC47" s="144"/>
      <c r="DD47" s="144"/>
      <c r="DE47" s="144"/>
      <c r="DF47" s="144"/>
      <c r="DG47" s="144"/>
      <c r="DH47" s="144"/>
      <c r="DI47" s="144"/>
      <c r="DJ47" s="144"/>
      <c r="DK47" s="144"/>
      <c r="DL47" s="144"/>
      <c r="DM47" s="144"/>
      <c r="DN47" s="144"/>
      <c r="DO47" s="144"/>
      <c r="DP47" s="144"/>
      <c r="DQ47" s="144"/>
      <c r="DR47" s="144"/>
      <c r="DS47" s="144"/>
      <c r="DT47" s="144"/>
      <c r="DU47" s="144"/>
      <c r="DV47" s="144"/>
      <c r="DW47" s="144"/>
      <c r="DX47" s="144"/>
      <c r="DY47" s="144"/>
      <c r="DZ47" s="144"/>
      <c r="EA47" s="144"/>
      <c r="EB47" s="144"/>
      <c r="EC47" s="144"/>
      <c r="ED47" s="144"/>
      <c r="EE47" s="144"/>
    </row>
    <row r="48" spans="2:135" s="142" customFormat="1" ht="25.2" x14ac:dyDescent="0.45">
      <c r="B48" s="139"/>
      <c r="C48" s="140"/>
      <c r="D48" s="141"/>
      <c r="E48" s="141"/>
      <c r="F48" s="141"/>
      <c r="G48" s="141"/>
      <c r="J48" s="143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AI48" s="147"/>
      <c r="AK48" s="145"/>
      <c r="AO48" s="139"/>
      <c r="AP48" s="139"/>
      <c r="AQ48" s="139"/>
      <c r="AR48" s="139"/>
      <c r="AS48" s="139"/>
      <c r="BG48" s="144"/>
      <c r="CJ48" s="145"/>
      <c r="CL48" s="145"/>
      <c r="CR48" s="146"/>
      <c r="CS48" s="146"/>
      <c r="CT48" s="146"/>
      <c r="CV48" s="146"/>
      <c r="CW48" s="146"/>
      <c r="DB48" s="144"/>
      <c r="DC48" s="144"/>
      <c r="DD48" s="144"/>
      <c r="DE48" s="144"/>
      <c r="DF48" s="144"/>
      <c r="DG48" s="144"/>
      <c r="DH48" s="144"/>
      <c r="DI48" s="144"/>
      <c r="DJ48" s="144"/>
      <c r="DK48" s="144"/>
      <c r="DL48" s="144"/>
      <c r="DM48" s="144"/>
      <c r="DN48" s="144"/>
      <c r="DO48" s="144"/>
      <c r="DP48" s="144"/>
      <c r="DQ48" s="144"/>
      <c r="DR48" s="144"/>
      <c r="DS48" s="144"/>
      <c r="DT48" s="144"/>
      <c r="DU48" s="144"/>
      <c r="DV48" s="144"/>
      <c r="DW48" s="144"/>
      <c r="DX48" s="144"/>
      <c r="DY48" s="144"/>
      <c r="DZ48" s="144"/>
      <c r="EA48" s="144"/>
      <c r="EB48" s="144"/>
      <c r="EC48" s="144"/>
      <c r="ED48" s="144"/>
      <c r="EE48" s="144"/>
    </row>
    <row r="49" spans="2:135" s="142" customFormat="1" ht="25.2" x14ac:dyDescent="0.45">
      <c r="B49" s="139"/>
      <c r="C49" s="140"/>
      <c r="D49" s="141"/>
      <c r="E49" s="141"/>
      <c r="F49" s="141"/>
      <c r="G49" s="141"/>
      <c r="J49" s="143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AK49" s="145"/>
      <c r="AO49" s="139"/>
      <c r="AP49" s="139"/>
      <c r="AQ49" s="139"/>
      <c r="AR49" s="139"/>
      <c r="AS49" s="139"/>
      <c r="BG49" s="144"/>
      <c r="CJ49" s="145"/>
      <c r="CL49" s="145"/>
      <c r="CR49" s="146"/>
      <c r="CS49" s="146"/>
      <c r="CT49" s="146"/>
      <c r="CV49" s="146"/>
      <c r="CW49" s="146"/>
      <c r="DB49" s="144"/>
      <c r="DC49" s="144"/>
      <c r="DD49" s="144"/>
      <c r="DE49" s="144"/>
      <c r="DF49" s="144"/>
      <c r="DG49" s="144"/>
      <c r="DH49" s="144"/>
      <c r="DI49" s="144"/>
      <c r="DJ49" s="144"/>
      <c r="DK49" s="144"/>
      <c r="DL49" s="144"/>
      <c r="DM49" s="144"/>
      <c r="DN49" s="144"/>
      <c r="DO49" s="144"/>
      <c r="DP49" s="144"/>
      <c r="DQ49" s="144"/>
      <c r="DR49" s="144"/>
      <c r="DS49" s="144"/>
      <c r="DT49" s="144"/>
      <c r="DU49" s="144"/>
      <c r="DV49" s="144"/>
      <c r="DW49" s="144"/>
      <c r="DX49" s="144"/>
      <c r="DY49" s="144"/>
      <c r="DZ49" s="144"/>
      <c r="EA49" s="144"/>
      <c r="EB49" s="144"/>
      <c r="EC49" s="144"/>
      <c r="ED49" s="144"/>
      <c r="EE49" s="144"/>
    </row>
    <row r="50" spans="2:135" s="142" customFormat="1" ht="25.2" x14ac:dyDescent="0.45">
      <c r="B50" s="139"/>
      <c r="C50" s="140"/>
      <c r="D50" s="141"/>
      <c r="E50" s="141"/>
      <c r="F50" s="141"/>
      <c r="G50" s="141"/>
      <c r="J50" s="143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AK50" s="145"/>
      <c r="AO50" s="139"/>
      <c r="AP50" s="139"/>
      <c r="AQ50" s="139"/>
      <c r="AR50" s="139"/>
      <c r="AS50" s="139"/>
      <c r="BG50" s="144"/>
      <c r="CJ50" s="145"/>
      <c r="CL50" s="145"/>
      <c r="CR50" s="146"/>
      <c r="CS50" s="146"/>
      <c r="CT50" s="146"/>
      <c r="CV50" s="146"/>
      <c r="CW50" s="146"/>
      <c r="DB50" s="144"/>
      <c r="DC50" s="144"/>
      <c r="DD50" s="144"/>
      <c r="DE50" s="144"/>
      <c r="DF50" s="144"/>
      <c r="DG50" s="144"/>
      <c r="DH50" s="144"/>
      <c r="DI50" s="144"/>
      <c r="DJ50" s="144"/>
      <c r="DK50" s="144"/>
      <c r="DL50" s="144"/>
      <c r="DM50" s="144"/>
      <c r="DN50" s="144"/>
      <c r="DO50" s="144"/>
      <c r="DP50" s="144"/>
      <c r="DQ50" s="144"/>
      <c r="DR50" s="144"/>
      <c r="DS50" s="144"/>
      <c r="DT50" s="144"/>
      <c r="DU50" s="144"/>
      <c r="DV50" s="144"/>
      <c r="DW50" s="144"/>
      <c r="DX50" s="144"/>
      <c r="DY50" s="144"/>
      <c r="DZ50" s="144"/>
      <c r="EA50" s="144"/>
      <c r="EB50" s="144"/>
      <c r="EC50" s="144"/>
      <c r="ED50" s="144"/>
      <c r="EE50" s="144"/>
    </row>
    <row r="51" spans="2:135" s="142" customFormat="1" ht="25.2" x14ac:dyDescent="0.45">
      <c r="B51" s="139"/>
      <c r="C51" s="140"/>
      <c r="D51" s="141"/>
      <c r="E51" s="141"/>
      <c r="F51" s="141"/>
      <c r="G51" s="141"/>
      <c r="J51" s="143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AK51" s="145"/>
      <c r="AO51" s="139"/>
      <c r="AP51" s="139"/>
      <c r="AQ51" s="139"/>
      <c r="AR51" s="139"/>
      <c r="AS51" s="139"/>
      <c r="BG51" s="144"/>
      <c r="CJ51" s="145"/>
      <c r="CL51" s="145"/>
      <c r="CR51" s="146"/>
      <c r="CS51" s="146"/>
      <c r="CT51" s="146"/>
      <c r="CV51" s="146"/>
      <c r="CW51" s="146"/>
      <c r="DB51" s="144"/>
      <c r="DC51" s="144"/>
      <c r="DD51" s="144"/>
      <c r="DE51" s="144"/>
      <c r="DF51" s="144"/>
      <c r="DG51" s="144"/>
      <c r="DH51" s="144"/>
      <c r="DI51" s="144"/>
      <c r="DJ51" s="144"/>
      <c r="DK51" s="144"/>
      <c r="DL51" s="144"/>
      <c r="DM51" s="144"/>
      <c r="DN51" s="144"/>
      <c r="DO51" s="144"/>
      <c r="DP51" s="144"/>
      <c r="DQ51" s="144"/>
      <c r="DR51" s="144"/>
      <c r="DS51" s="144"/>
      <c r="DT51" s="144"/>
      <c r="DU51" s="144"/>
      <c r="DV51" s="144"/>
      <c r="DW51" s="144"/>
      <c r="DX51" s="144"/>
      <c r="DY51" s="144"/>
      <c r="DZ51" s="144"/>
      <c r="EA51" s="144"/>
      <c r="EB51" s="144"/>
      <c r="EC51" s="144"/>
      <c r="ED51" s="144"/>
      <c r="EE51" s="144"/>
    </row>
    <row r="52" spans="2:135" s="142" customFormat="1" ht="25.2" x14ac:dyDescent="0.45">
      <c r="B52" s="139"/>
      <c r="C52" s="140"/>
      <c r="D52" s="141"/>
      <c r="E52" s="141"/>
      <c r="F52" s="141"/>
      <c r="G52" s="141"/>
      <c r="J52" s="143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AK52" s="145"/>
      <c r="AO52" s="139"/>
      <c r="AP52" s="139"/>
      <c r="AQ52" s="139"/>
      <c r="AR52" s="139"/>
      <c r="AS52" s="139"/>
      <c r="BG52" s="144"/>
      <c r="CJ52" s="145"/>
      <c r="CL52" s="145"/>
      <c r="CR52" s="146"/>
      <c r="CS52" s="146"/>
      <c r="CT52" s="146"/>
      <c r="CV52" s="146"/>
      <c r="CW52" s="146"/>
      <c r="DB52" s="144"/>
      <c r="DC52" s="144"/>
      <c r="DD52" s="144"/>
      <c r="DE52" s="144"/>
      <c r="DF52" s="144"/>
      <c r="DG52" s="144"/>
      <c r="DH52" s="144"/>
      <c r="DI52" s="144"/>
      <c r="DJ52" s="144"/>
      <c r="DK52" s="144"/>
      <c r="DL52" s="144"/>
      <c r="DM52" s="144"/>
      <c r="DN52" s="144"/>
      <c r="DO52" s="144"/>
      <c r="DP52" s="144"/>
      <c r="DQ52" s="144"/>
      <c r="DR52" s="144"/>
      <c r="DS52" s="144"/>
      <c r="DT52" s="144"/>
      <c r="DU52" s="144"/>
      <c r="DV52" s="144"/>
      <c r="DW52" s="144"/>
      <c r="DX52" s="144"/>
      <c r="DY52" s="144"/>
      <c r="DZ52" s="144"/>
      <c r="EA52" s="144"/>
      <c r="EB52" s="144"/>
      <c r="EC52" s="144"/>
      <c r="ED52" s="144"/>
      <c r="EE52" s="144"/>
    </row>
    <row r="53" spans="2:135" s="142" customFormat="1" ht="25.2" x14ac:dyDescent="0.45">
      <c r="B53" s="139"/>
      <c r="C53" s="140"/>
      <c r="D53" s="141"/>
      <c r="E53" s="141"/>
      <c r="F53" s="141"/>
      <c r="G53" s="141"/>
      <c r="J53" s="143"/>
      <c r="K53" s="148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AK53" s="145"/>
      <c r="AO53" s="139"/>
      <c r="AP53" s="139"/>
      <c r="AQ53" s="139"/>
      <c r="AR53" s="139"/>
      <c r="AS53" s="139"/>
      <c r="BG53" s="144"/>
      <c r="CJ53" s="145"/>
      <c r="CL53" s="145"/>
      <c r="CR53" s="146"/>
      <c r="CS53" s="146"/>
      <c r="CT53" s="146"/>
      <c r="CV53" s="146"/>
      <c r="CW53" s="146"/>
      <c r="DB53" s="144"/>
      <c r="DC53" s="144"/>
      <c r="DD53" s="144"/>
      <c r="DE53" s="144"/>
      <c r="DF53" s="144"/>
      <c r="DG53" s="144"/>
      <c r="DH53" s="144"/>
      <c r="DI53" s="144"/>
      <c r="DJ53" s="144"/>
      <c r="DK53" s="144"/>
      <c r="DL53" s="144"/>
      <c r="DM53" s="144"/>
      <c r="DN53" s="144"/>
      <c r="DO53" s="144"/>
      <c r="DP53" s="144"/>
      <c r="DQ53" s="144"/>
      <c r="DR53" s="144"/>
      <c r="DS53" s="144"/>
      <c r="DT53" s="144"/>
      <c r="DU53" s="144"/>
      <c r="DV53" s="144"/>
      <c r="DW53" s="144"/>
      <c r="DX53" s="144"/>
      <c r="DY53" s="144"/>
      <c r="DZ53" s="144"/>
      <c r="EA53" s="144"/>
      <c r="EB53" s="144"/>
      <c r="EC53" s="144"/>
      <c r="ED53" s="144"/>
      <c r="EE53" s="144"/>
    </row>
    <row r="54" spans="2:135" s="142" customFormat="1" ht="25.2" x14ac:dyDescent="0.45">
      <c r="B54" s="139"/>
      <c r="C54" s="140"/>
      <c r="D54" s="141"/>
      <c r="E54" s="141"/>
      <c r="F54" s="141"/>
      <c r="G54" s="141"/>
      <c r="J54" s="143"/>
      <c r="K54" s="148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AK54" s="145"/>
      <c r="AO54" s="139"/>
      <c r="AP54" s="139"/>
      <c r="AQ54" s="139"/>
      <c r="AR54" s="139"/>
      <c r="AS54" s="139"/>
      <c r="BG54" s="144"/>
      <c r="CJ54" s="145"/>
      <c r="CL54" s="145"/>
      <c r="CR54" s="146"/>
      <c r="CS54" s="146"/>
      <c r="CT54" s="146"/>
      <c r="CV54" s="146"/>
      <c r="CW54" s="146"/>
      <c r="DB54" s="144"/>
      <c r="DC54" s="144"/>
      <c r="DD54" s="144"/>
      <c r="DE54" s="144"/>
      <c r="DF54" s="144"/>
      <c r="DG54" s="144"/>
      <c r="DH54" s="144"/>
      <c r="DI54" s="144"/>
      <c r="DJ54" s="144"/>
      <c r="DK54" s="144"/>
      <c r="DL54" s="144"/>
      <c r="DM54" s="144"/>
      <c r="DN54" s="144"/>
      <c r="DO54" s="144"/>
      <c r="DP54" s="144"/>
      <c r="DQ54" s="144"/>
      <c r="DR54" s="144"/>
      <c r="DS54" s="144"/>
      <c r="DT54" s="144"/>
      <c r="DU54" s="144"/>
      <c r="DV54" s="144"/>
      <c r="DW54" s="144"/>
      <c r="DX54" s="144"/>
      <c r="DY54" s="144"/>
      <c r="DZ54" s="144"/>
      <c r="EA54" s="144"/>
      <c r="EB54" s="144"/>
      <c r="EC54" s="144"/>
      <c r="ED54" s="144"/>
      <c r="EE54" s="144"/>
    </row>
    <row r="55" spans="2:135" s="142" customFormat="1" ht="25.2" x14ac:dyDescent="0.45">
      <c r="B55" s="139"/>
      <c r="C55" s="140"/>
      <c r="D55" s="141"/>
      <c r="E55" s="141"/>
      <c r="F55" s="141"/>
      <c r="G55" s="141"/>
      <c r="J55" s="143"/>
      <c r="K55" s="148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AK55" s="145"/>
      <c r="AO55" s="139"/>
      <c r="AP55" s="139"/>
      <c r="AQ55" s="139"/>
      <c r="AR55" s="139"/>
      <c r="AS55" s="139"/>
      <c r="BG55" s="144"/>
      <c r="CJ55" s="145"/>
      <c r="CL55" s="145"/>
      <c r="CR55" s="146"/>
      <c r="CS55" s="146"/>
      <c r="CT55" s="146"/>
      <c r="CV55" s="146"/>
      <c r="CW55" s="146"/>
      <c r="DB55" s="144"/>
      <c r="DC55" s="144"/>
      <c r="DD55" s="144"/>
      <c r="DE55" s="144"/>
      <c r="DF55" s="144"/>
      <c r="DG55" s="144"/>
      <c r="DH55" s="144"/>
      <c r="DI55" s="144"/>
      <c r="DJ55" s="144"/>
      <c r="DK55" s="144"/>
      <c r="DL55" s="144"/>
      <c r="DM55" s="144"/>
      <c r="DN55" s="144"/>
      <c r="DO55" s="144"/>
      <c r="DP55" s="144"/>
      <c r="DQ55" s="144"/>
      <c r="DR55" s="144"/>
      <c r="DS55" s="144"/>
      <c r="DT55" s="144"/>
      <c r="DU55" s="144"/>
      <c r="DV55" s="144"/>
      <c r="DW55" s="144"/>
      <c r="DX55" s="144"/>
      <c r="DY55" s="144"/>
      <c r="DZ55" s="144"/>
      <c r="EA55" s="144"/>
      <c r="EB55" s="144"/>
      <c r="EC55" s="144"/>
      <c r="ED55" s="144"/>
      <c r="EE55" s="144"/>
    </row>
    <row r="56" spans="2:135" s="142" customFormat="1" ht="25.2" x14ac:dyDescent="0.45">
      <c r="B56" s="139"/>
      <c r="C56" s="140"/>
      <c r="D56" s="141"/>
      <c r="E56" s="141"/>
      <c r="F56" s="141"/>
      <c r="G56" s="141"/>
      <c r="J56" s="143"/>
      <c r="K56" s="148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AK56" s="145"/>
      <c r="AO56" s="139"/>
      <c r="AP56" s="139"/>
      <c r="AQ56" s="139"/>
      <c r="AR56" s="139"/>
      <c r="AS56" s="139"/>
      <c r="BG56" s="144"/>
      <c r="CJ56" s="145"/>
      <c r="CL56" s="145"/>
      <c r="CR56" s="146"/>
      <c r="CS56" s="146"/>
      <c r="CT56" s="146"/>
      <c r="CV56" s="146"/>
      <c r="CW56" s="146"/>
      <c r="DB56" s="144"/>
      <c r="DC56" s="144"/>
      <c r="DD56" s="144"/>
      <c r="DE56" s="144"/>
      <c r="DF56" s="144"/>
      <c r="DG56" s="144"/>
      <c r="DH56" s="144"/>
      <c r="DI56" s="144"/>
      <c r="DJ56" s="144"/>
      <c r="DK56" s="144"/>
      <c r="DL56" s="144"/>
      <c r="DM56" s="144"/>
      <c r="DN56" s="144"/>
      <c r="DO56" s="144"/>
      <c r="DP56" s="144"/>
      <c r="DQ56" s="144"/>
      <c r="DR56" s="144"/>
      <c r="DS56" s="144"/>
      <c r="DT56" s="144"/>
      <c r="DU56" s="144"/>
      <c r="DV56" s="144"/>
      <c r="DW56" s="144"/>
      <c r="DX56" s="144"/>
      <c r="DY56" s="144"/>
      <c r="DZ56" s="144"/>
      <c r="EA56" s="144"/>
      <c r="EB56" s="144"/>
      <c r="EC56" s="144"/>
      <c r="ED56" s="144"/>
      <c r="EE56" s="144"/>
    </row>
    <row r="57" spans="2:135" s="142" customFormat="1" ht="25.2" x14ac:dyDescent="0.45">
      <c r="B57" s="139"/>
      <c r="C57" s="140"/>
      <c r="D57" s="141"/>
      <c r="E57" s="141"/>
      <c r="F57" s="141"/>
      <c r="G57" s="141"/>
      <c r="J57" s="143"/>
      <c r="K57" s="148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AK57" s="145"/>
      <c r="AO57" s="139"/>
      <c r="AP57" s="139"/>
      <c r="AQ57" s="139"/>
      <c r="AR57" s="139"/>
      <c r="AS57" s="139"/>
      <c r="BG57" s="144"/>
      <c r="CJ57" s="145"/>
      <c r="CL57" s="145"/>
      <c r="CR57" s="146"/>
      <c r="CS57" s="146"/>
      <c r="CT57" s="146"/>
      <c r="CV57" s="146"/>
      <c r="CW57" s="146"/>
      <c r="DB57" s="144"/>
      <c r="DC57" s="144"/>
      <c r="DD57" s="144"/>
      <c r="DE57" s="144"/>
      <c r="DF57" s="144"/>
      <c r="DG57" s="144"/>
      <c r="DH57" s="144"/>
      <c r="DI57" s="144"/>
      <c r="DJ57" s="144"/>
      <c r="DK57" s="144"/>
      <c r="DL57" s="144"/>
      <c r="DM57" s="144"/>
      <c r="DN57" s="144"/>
      <c r="DO57" s="144"/>
      <c r="DP57" s="144"/>
      <c r="DQ57" s="144"/>
      <c r="DR57" s="144"/>
      <c r="DS57" s="144"/>
      <c r="DT57" s="144"/>
      <c r="DU57" s="144"/>
      <c r="DV57" s="144"/>
      <c r="DW57" s="144"/>
      <c r="DX57" s="144"/>
      <c r="DY57" s="144"/>
      <c r="DZ57" s="144"/>
      <c r="EA57" s="144"/>
      <c r="EB57" s="144"/>
      <c r="EC57" s="144"/>
      <c r="ED57" s="144"/>
      <c r="EE57" s="144"/>
    </row>
    <row r="58" spans="2:135" s="142" customFormat="1" ht="25.2" x14ac:dyDescent="0.45">
      <c r="B58" s="139"/>
      <c r="C58" s="140"/>
      <c r="D58" s="141"/>
      <c r="E58" s="141"/>
      <c r="F58" s="141"/>
      <c r="G58" s="141"/>
      <c r="J58" s="143"/>
      <c r="K58" s="148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AK58" s="145"/>
      <c r="AO58" s="139"/>
      <c r="AP58" s="139"/>
      <c r="AQ58" s="139"/>
      <c r="AR58" s="139"/>
      <c r="AS58" s="139"/>
      <c r="BG58" s="144"/>
      <c r="CJ58" s="145"/>
      <c r="CL58" s="145"/>
      <c r="CR58" s="146"/>
      <c r="CS58" s="146"/>
      <c r="CT58" s="146"/>
      <c r="CV58" s="146"/>
      <c r="CW58" s="146"/>
      <c r="DB58" s="144"/>
      <c r="DC58" s="144"/>
      <c r="DD58" s="144"/>
      <c r="DE58" s="144"/>
      <c r="DF58" s="144"/>
      <c r="DG58" s="144"/>
      <c r="DH58" s="144"/>
      <c r="DI58" s="144"/>
      <c r="DJ58" s="144"/>
      <c r="DK58" s="144"/>
      <c r="DL58" s="144"/>
      <c r="DM58" s="144"/>
      <c r="DN58" s="144"/>
      <c r="DO58" s="144"/>
      <c r="DP58" s="144"/>
      <c r="DQ58" s="144"/>
      <c r="DR58" s="144"/>
      <c r="DS58" s="144"/>
      <c r="DT58" s="144"/>
      <c r="DU58" s="144"/>
      <c r="DV58" s="144"/>
      <c r="DW58" s="144"/>
      <c r="DX58" s="144"/>
      <c r="DY58" s="144"/>
      <c r="DZ58" s="144"/>
      <c r="EA58" s="144"/>
      <c r="EB58" s="144"/>
      <c r="EC58" s="144"/>
      <c r="ED58" s="144"/>
      <c r="EE58" s="144"/>
    </row>
    <row r="59" spans="2:135" s="142" customFormat="1" ht="25.2" x14ac:dyDescent="0.45">
      <c r="B59" s="139"/>
      <c r="C59" s="140"/>
      <c r="D59" s="141"/>
      <c r="E59" s="141"/>
      <c r="F59" s="141"/>
      <c r="G59" s="141"/>
      <c r="J59" s="143"/>
      <c r="K59" s="148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AK59" s="145"/>
      <c r="AO59" s="139"/>
      <c r="AP59" s="139"/>
      <c r="AQ59" s="139"/>
      <c r="AR59" s="139"/>
      <c r="AS59" s="139"/>
      <c r="BG59" s="144"/>
      <c r="CJ59" s="145"/>
      <c r="CL59" s="145"/>
      <c r="CR59" s="146"/>
      <c r="CS59" s="146"/>
      <c r="CT59" s="146"/>
      <c r="CV59" s="146"/>
      <c r="CW59" s="146"/>
      <c r="DB59" s="144"/>
      <c r="DC59" s="144"/>
      <c r="DD59" s="144"/>
      <c r="DE59" s="144"/>
      <c r="DF59" s="144"/>
      <c r="DG59" s="144"/>
      <c r="DH59" s="144"/>
      <c r="DI59" s="144"/>
      <c r="DJ59" s="144"/>
      <c r="DK59" s="144"/>
      <c r="DL59" s="144"/>
      <c r="DM59" s="144"/>
      <c r="DN59" s="144"/>
      <c r="DO59" s="144"/>
      <c r="DP59" s="144"/>
      <c r="DQ59" s="144"/>
      <c r="DR59" s="144"/>
      <c r="DS59" s="144"/>
      <c r="DT59" s="144"/>
      <c r="DU59" s="144"/>
      <c r="DV59" s="144"/>
      <c r="DW59" s="144"/>
      <c r="DX59" s="144"/>
      <c r="DY59" s="144"/>
      <c r="DZ59" s="144"/>
      <c r="EA59" s="144"/>
      <c r="EB59" s="144"/>
      <c r="EC59" s="144"/>
      <c r="ED59" s="144"/>
      <c r="EE59" s="144"/>
    </row>
    <row r="60" spans="2:135" s="142" customFormat="1" ht="25.2" x14ac:dyDescent="0.45">
      <c r="B60" s="139"/>
      <c r="C60" s="140"/>
      <c r="D60" s="141"/>
      <c r="E60" s="141"/>
      <c r="F60" s="141"/>
      <c r="G60" s="141"/>
      <c r="J60" s="143"/>
      <c r="K60" s="148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AK60" s="145"/>
      <c r="AO60" s="139"/>
      <c r="AP60" s="139"/>
      <c r="AQ60" s="139"/>
      <c r="AR60" s="139"/>
      <c r="AS60" s="139"/>
      <c r="BG60" s="144"/>
      <c r="CJ60" s="145"/>
      <c r="CL60" s="145"/>
      <c r="CR60" s="146"/>
      <c r="CS60" s="146"/>
      <c r="CT60" s="146"/>
      <c r="CV60" s="146"/>
      <c r="CW60" s="146"/>
      <c r="DB60" s="144"/>
      <c r="DC60" s="144"/>
      <c r="DD60" s="144"/>
      <c r="DE60" s="144"/>
      <c r="DF60" s="144"/>
      <c r="DG60" s="144"/>
      <c r="DH60" s="144"/>
      <c r="DI60" s="144"/>
      <c r="DJ60" s="144"/>
      <c r="DK60" s="144"/>
      <c r="DL60" s="144"/>
      <c r="DM60" s="144"/>
      <c r="DN60" s="144"/>
      <c r="DO60" s="144"/>
      <c r="DP60" s="144"/>
      <c r="DQ60" s="144"/>
      <c r="DR60" s="144"/>
      <c r="DS60" s="144"/>
      <c r="DT60" s="144"/>
      <c r="DU60" s="144"/>
      <c r="DV60" s="144"/>
      <c r="DW60" s="144"/>
      <c r="DX60" s="144"/>
      <c r="DY60" s="144"/>
      <c r="DZ60" s="144"/>
      <c r="EA60" s="144"/>
      <c r="EB60" s="144"/>
      <c r="EC60" s="144"/>
      <c r="ED60" s="144"/>
      <c r="EE60" s="144"/>
    </row>
    <row r="61" spans="2:135" s="142" customFormat="1" ht="25.2" x14ac:dyDescent="0.45">
      <c r="B61" s="139"/>
      <c r="C61" s="140"/>
      <c r="D61" s="141"/>
      <c r="E61" s="141"/>
      <c r="F61" s="141"/>
      <c r="G61" s="141"/>
      <c r="J61" s="143"/>
      <c r="K61" s="148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AK61" s="145"/>
      <c r="AO61" s="139"/>
      <c r="AP61" s="139"/>
      <c r="AQ61" s="139"/>
      <c r="AR61" s="139"/>
      <c r="AS61" s="139"/>
      <c r="BG61" s="144"/>
      <c r="CJ61" s="145"/>
      <c r="CL61" s="145"/>
      <c r="CR61" s="146"/>
      <c r="CS61" s="146"/>
      <c r="CT61" s="146"/>
      <c r="CV61" s="146"/>
      <c r="CW61" s="146"/>
      <c r="DB61" s="144"/>
      <c r="DC61" s="144"/>
      <c r="DD61" s="144"/>
      <c r="DE61" s="144"/>
      <c r="DF61" s="144"/>
      <c r="DG61" s="144"/>
      <c r="DH61" s="144"/>
      <c r="DI61" s="144"/>
      <c r="DJ61" s="144"/>
      <c r="DK61" s="144"/>
      <c r="DL61" s="144"/>
      <c r="DM61" s="144"/>
      <c r="DN61" s="144"/>
      <c r="DO61" s="144"/>
      <c r="DP61" s="144"/>
      <c r="DQ61" s="144"/>
      <c r="DR61" s="144"/>
      <c r="DS61" s="144"/>
      <c r="DT61" s="144"/>
      <c r="DU61" s="144"/>
      <c r="DV61" s="144"/>
      <c r="DW61" s="144"/>
      <c r="DX61" s="144"/>
      <c r="DY61" s="144"/>
      <c r="DZ61" s="144"/>
      <c r="EA61" s="144"/>
      <c r="EB61" s="144"/>
      <c r="EC61" s="144"/>
      <c r="ED61" s="144"/>
      <c r="EE61" s="144"/>
    </row>
    <row r="62" spans="2:135" s="142" customFormat="1" ht="25.2" x14ac:dyDescent="0.45">
      <c r="B62" s="139"/>
      <c r="C62" s="140"/>
      <c r="D62" s="141"/>
      <c r="E62" s="141"/>
      <c r="F62" s="141"/>
      <c r="G62" s="141"/>
      <c r="J62" s="143"/>
      <c r="K62" s="148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AK62" s="145"/>
      <c r="AO62" s="139"/>
      <c r="AP62" s="139"/>
      <c r="AQ62" s="139"/>
      <c r="AR62" s="139"/>
      <c r="AS62" s="139"/>
      <c r="BG62" s="144"/>
      <c r="CJ62" s="145"/>
      <c r="CL62" s="145"/>
      <c r="CR62" s="146"/>
      <c r="CS62" s="146"/>
      <c r="CT62" s="146"/>
      <c r="CV62" s="146"/>
      <c r="CW62" s="146"/>
      <c r="DB62" s="144"/>
      <c r="DC62" s="144"/>
      <c r="DD62" s="144"/>
      <c r="DE62" s="144"/>
      <c r="DF62" s="144"/>
      <c r="DG62" s="144"/>
      <c r="DH62" s="144"/>
      <c r="DI62" s="144"/>
      <c r="DJ62" s="144"/>
      <c r="DK62" s="144"/>
      <c r="DL62" s="144"/>
      <c r="DM62" s="144"/>
      <c r="DN62" s="144"/>
      <c r="DO62" s="144"/>
      <c r="DP62" s="144"/>
      <c r="DQ62" s="144"/>
      <c r="DR62" s="144"/>
      <c r="DS62" s="144"/>
      <c r="DT62" s="144"/>
      <c r="DU62" s="144"/>
      <c r="DV62" s="144"/>
      <c r="DW62" s="144"/>
      <c r="DX62" s="144"/>
      <c r="DY62" s="144"/>
      <c r="DZ62" s="144"/>
      <c r="EA62" s="144"/>
      <c r="EB62" s="144"/>
      <c r="EC62" s="144"/>
      <c r="ED62" s="144"/>
      <c r="EE62" s="144"/>
    </row>
    <row r="63" spans="2:135" s="142" customFormat="1" ht="25.2" x14ac:dyDescent="0.45">
      <c r="B63" s="139"/>
      <c r="C63" s="140"/>
      <c r="D63" s="141"/>
      <c r="E63" s="141"/>
      <c r="F63" s="141"/>
      <c r="G63" s="141"/>
      <c r="J63" s="143"/>
      <c r="K63" s="148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AK63" s="145"/>
      <c r="AO63" s="139"/>
      <c r="AP63" s="139"/>
      <c r="AQ63" s="139"/>
      <c r="AR63" s="139"/>
      <c r="AS63" s="139"/>
      <c r="BG63" s="144"/>
      <c r="CJ63" s="145"/>
      <c r="CL63" s="145"/>
      <c r="CR63" s="146"/>
      <c r="CS63" s="146"/>
      <c r="CT63" s="146"/>
      <c r="CV63" s="146"/>
      <c r="CW63" s="146"/>
      <c r="DB63" s="144"/>
      <c r="DC63" s="144"/>
      <c r="DD63" s="144"/>
      <c r="DE63" s="144"/>
      <c r="DF63" s="144"/>
      <c r="DG63" s="144"/>
      <c r="DH63" s="144"/>
      <c r="DI63" s="144"/>
      <c r="DJ63" s="144"/>
      <c r="DK63" s="144"/>
      <c r="DL63" s="144"/>
      <c r="DM63" s="144"/>
      <c r="DN63" s="144"/>
      <c r="DO63" s="144"/>
      <c r="DP63" s="144"/>
      <c r="DQ63" s="144"/>
      <c r="DR63" s="144"/>
      <c r="DS63" s="144"/>
      <c r="DT63" s="144"/>
      <c r="DU63" s="144"/>
      <c r="DV63" s="144"/>
      <c r="DW63" s="144"/>
      <c r="DX63" s="144"/>
      <c r="DY63" s="144"/>
      <c r="DZ63" s="144"/>
      <c r="EA63" s="144"/>
      <c r="EB63" s="144"/>
      <c r="EC63" s="144"/>
      <c r="ED63" s="144"/>
      <c r="EE63" s="144"/>
    </row>
    <row r="64" spans="2:135" s="142" customFormat="1" ht="25.2" x14ac:dyDescent="0.45">
      <c r="B64" s="139"/>
      <c r="C64" s="140"/>
      <c r="D64" s="141"/>
      <c r="E64" s="141"/>
      <c r="F64" s="141"/>
      <c r="G64" s="141"/>
      <c r="J64" s="143"/>
      <c r="K64" s="148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AK64" s="145"/>
      <c r="AO64" s="139"/>
      <c r="AP64" s="139"/>
      <c r="AQ64" s="139"/>
      <c r="AR64" s="139"/>
      <c r="AS64" s="139"/>
      <c r="BG64" s="144"/>
      <c r="CJ64" s="145"/>
      <c r="CL64" s="145"/>
      <c r="CR64" s="146"/>
      <c r="CS64" s="146"/>
      <c r="CT64" s="146"/>
      <c r="CV64" s="146"/>
      <c r="CW64" s="146"/>
      <c r="DB64" s="144"/>
      <c r="DC64" s="144"/>
      <c r="DD64" s="144"/>
      <c r="DE64" s="144"/>
      <c r="DF64" s="144"/>
      <c r="DG64" s="144"/>
      <c r="DH64" s="144"/>
      <c r="DI64" s="144"/>
      <c r="DJ64" s="144"/>
      <c r="DK64" s="144"/>
      <c r="DL64" s="144"/>
      <c r="DM64" s="144"/>
      <c r="DN64" s="144"/>
      <c r="DO64" s="144"/>
      <c r="DP64" s="144"/>
      <c r="DQ64" s="144"/>
      <c r="DR64" s="144"/>
      <c r="DS64" s="144"/>
      <c r="DT64" s="144"/>
      <c r="DU64" s="144"/>
      <c r="DV64" s="144"/>
      <c r="DW64" s="144"/>
      <c r="DX64" s="144"/>
      <c r="DY64" s="144"/>
      <c r="DZ64" s="144"/>
      <c r="EA64" s="144"/>
      <c r="EB64" s="144"/>
      <c r="EC64" s="144"/>
      <c r="ED64" s="144"/>
      <c r="EE64" s="144"/>
    </row>
    <row r="65" spans="2:135" s="142" customFormat="1" ht="25.2" x14ac:dyDescent="0.45">
      <c r="B65" s="139"/>
      <c r="C65" s="140"/>
      <c r="D65" s="141"/>
      <c r="E65" s="141"/>
      <c r="F65" s="141"/>
      <c r="G65" s="141"/>
      <c r="J65" s="143"/>
      <c r="K65" s="148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AK65" s="145"/>
      <c r="AO65" s="139"/>
      <c r="AP65" s="139"/>
      <c r="AQ65" s="139"/>
      <c r="AR65" s="139"/>
      <c r="AS65" s="139"/>
      <c r="BG65" s="144"/>
      <c r="CJ65" s="145"/>
      <c r="CL65" s="145"/>
      <c r="CR65" s="146"/>
      <c r="CS65" s="146"/>
      <c r="CT65" s="146"/>
      <c r="CV65" s="146"/>
      <c r="CW65" s="146"/>
      <c r="DB65" s="144"/>
      <c r="DC65" s="144"/>
      <c r="DD65" s="144"/>
      <c r="DE65" s="144"/>
      <c r="DF65" s="144"/>
      <c r="DG65" s="144"/>
      <c r="DH65" s="144"/>
      <c r="DI65" s="144"/>
      <c r="DJ65" s="144"/>
      <c r="DK65" s="144"/>
      <c r="DL65" s="144"/>
      <c r="DM65" s="144"/>
      <c r="DN65" s="144"/>
      <c r="DO65" s="144"/>
      <c r="DP65" s="144"/>
      <c r="DQ65" s="144"/>
      <c r="DR65" s="144"/>
      <c r="DS65" s="144"/>
      <c r="DT65" s="144"/>
      <c r="DU65" s="144"/>
      <c r="DV65" s="144"/>
      <c r="DW65" s="144"/>
      <c r="DX65" s="144"/>
      <c r="DY65" s="144"/>
      <c r="DZ65" s="144"/>
      <c r="EA65" s="144"/>
      <c r="EB65" s="144"/>
      <c r="EC65" s="144"/>
      <c r="ED65" s="144"/>
      <c r="EE65" s="144"/>
    </row>
    <row r="66" spans="2:135" s="142" customFormat="1" ht="25.2" x14ac:dyDescent="0.45">
      <c r="B66" s="139"/>
      <c r="C66" s="140"/>
      <c r="D66" s="141"/>
      <c r="E66" s="141"/>
      <c r="F66" s="141"/>
      <c r="G66" s="141"/>
      <c r="J66" s="143"/>
      <c r="K66" s="148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AK66" s="145"/>
      <c r="AO66" s="139"/>
      <c r="AP66" s="139"/>
      <c r="AQ66" s="139"/>
      <c r="AR66" s="139"/>
      <c r="AS66" s="139"/>
      <c r="BG66" s="144"/>
      <c r="CJ66" s="145"/>
      <c r="CL66" s="145"/>
      <c r="CR66" s="146"/>
      <c r="CS66" s="146"/>
      <c r="CT66" s="146"/>
      <c r="CV66" s="146"/>
      <c r="CW66" s="146"/>
      <c r="DB66" s="144"/>
      <c r="DC66" s="144"/>
      <c r="DD66" s="144"/>
      <c r="DE66" s="144"/>
      <c r="DF66" s="144"/>
      <c r="DG66" s="144"/>
      <c r="DH66" s="144"/>
      <c r="DI66" s="144"/>
      <c r="DJ66" s="144"/>
      <c r="DK66" s="144"/>
      <c r="DL66" s="144"/>
      <c r="DM66" s="144"/>
      <c r="DN66" s="144"/>
      <c r="DO66" s="144"/>
      <c r="DP66" s="144"/>
      <c r="DQ66" s="144"/>
      <c r="DR66" s="144"/>
      <c r="DS66" s="144"/>
      <c r="DT66" s="144"/>
      <c r="DU66" s="144"/>
      <c r="DV66" s="144"/>
      <c r="DW66" s="144"/>
      <c r="DX66" s="144"/>
      <c r="DY66" s="144"/>
      <c r="DZ66" s="144"/>
      <c r="EA66" s="144"/>
      <c r="EB66" s="144"/>
      <c r="EC66" s="144"/>
      <c r="ED66" s="144"/>
      <c r="EE66" s="144"/>
    </row>
    <row r="67" spans="2:135" s="142" customFormat="1" ht="25.2" x14ac:dyDescent="0.45">
      <c r="B67" s="139"/>
      <c r="C67" s="140"/>
      <c r="D67" s="141"/>
      <c r="E67" s="141"/>
      <c r="F67" s="141"/>
      <c r="G67" s="141"/>
      <c r="J67" s="143"/>
      <c r="K67" s="148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AK67" s="145"/>
      <c r="AO67" s="139"/>
      <c r="AP67" s="139"/>
      <c r="AQ67" s="139"/>
      <c r="AR67" s="139"/>
      <c r="AS67" s="139"/>
      <c r="BG67" s="144"/>
      <c r="CJ67" s="145"/>
      <c r="CL67" s="145"/>
      <c r="CR67" s="146"/>
      <c r="CS67" s="146"/>
      <c r="CT67" s="146"/>
      <c r="CV67" s="146"/>
      <c r="CW67" s="146"/>
      <c r="DB67" s="144"/>
      <c r="DC67" s="144"/>
      <c r="DD67" s="144"/>
      <c r="DE67" s="144"/>
      <c r="DF67" s="144"/>
      <c r="DG67" s="144"/>
      <c r="DH67" s="144"/>
      <c r="DI67" s="144"/>
      <c r="DJ67" s="144"/>
      <c r="DK67" s="144"/>
      <c r="DL67" s="144"/>
      <c r="DM67" s="144"/>
      <c r="DN67" s="144"/>
      <c r="DO67" s="144"/>
      <c r="DP67" s="144"/>
      <c r="DQ67" s="144"/>
      <c r="DR67" s="144"/>
      <c r="DS67" s="144"/>
      <c r="DT67" s="144"/>
      <c r="DU67" s="144"/>
      <c r="DV67" s="144"/>
      <c r="DW67" s="144"/>
      <c r="DX67" s="144"/>
      <c r="DY67" s="144"/>
      <c r="DZ67" s="144"/>
      <c r="EA67" s="144"/>
      <c r="EB67" s="144"/>
      <c r="EC67" s="144"/>
      <c r="ED67" s="144"/>
      <c r="EE67" s="144"/>
    </row>
    <row r="68" spans="2:135" s="142" customFormat="1" ht="25.2" x14ac:dyDescent="0.45">
      <c r="B68" s="139"/>
      <c r="C68" s="140"/>
      <c r="D68" s="141"/>
      <c r="E68" s="141"/>
      <c r="F68" s="141"/>
      <c r="G68" s="141"/>
      <c r="J68" s="143"/>
      <c r="K68" s="148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AK68" s="145"/>
      <c r="AO68" s="139"/>
      <c r="AP68" s="139"/>
      <c r="AQ68" s="139"/>
      <c r="AR68" s="139"/>
      <c r="AS68" s="139"/>
      <c r="BG68" s="144"/>
      <c r="CJ68" s="145"/>
      <c r="CL68" s="145"/>
      <c r="CR68" s="146"/>
      <c r="CS68" s="146"/>
      <c r="CT68" s="146"/>
      <c r="CV68" s="146"/>
      <c r="CW68" s="146"/>
      <c r="DB68" s="144"/>
      <c r="DC68" s="144"/>
      <c r="DD68" s="144"/>
      <c r="DE68" s="144"/>
      <c r="DF68" s="144"/>
      <c r="DG68" s="144"/>
      <c r="DH68" s="144"/>
      <c r="DI68" s="144"/>
      <c r="DJ68" s="144"/>
      <c r="DK68" s="144"/>
      <c r="DL68" s="144"/>
      <c r="DM68" s="144"/>
      <c r="DN68" s="144"/>
      <c r="DO68" s="144"/>
      <c r="DP68" s="144"/>
      <c r="DQ68" s="144"/>
      <c r="DR68" s="144"/>
      <c r="DS68" s="144"/>
      <c r="DT68" s="144"/>
      <c r="DU68" s="144"/>
      <c r="DV68" s="144"/>
      <c r="DW68" s="144"/>
      <c r="DX68" s="144"/>
      <c r="DY68" s="144"/>
      <c r="DZ68" s="144"/>
      <c r="EA68" s="144"/>
      <c r="EB68" s="144"/>
      <c r="EC68" s="144"/>
      <c r="ED68" s="144"/>
      <c r="EE68" s="144"/>
    </row>
    <row r="69" spans="2:135" s="142" customFormat="1" ht="25.2" x14ac:dyDescent="0.45">
      <c r="B69" s="139"/>
      <c r="C69" s="140"/>
      <c r="D69" s="141"/>
      <c r="E69" s="141"/>
      <c r="F69" s="141"/>
      <c r="G69" s="141"/>
      <c r="J69" s="143"/>
      <c r="K69" s="148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AK69" s="145"/>
      <c r="AO69" s="139"/>
      <c r="AP69" s="139"/>
      <c r="AQ69" s="139"/>
      <c r="AR69" s="139"/>
      <c r="AS69" s="139"/>
      <c r="BG69" s="144"/>
      <c r="CJ69" s="145"/>
      <c r="CL69" s="145"/>
      <c r="CR69" s="146"/>
      <c r="CS69" s="146"/>
      <c r="CT69" s="146"/>
      <c r="CV69" s="146"/>
      <c r="CW69" s="146"/>
      <c r="DB69" s="144"/>
      <c r="DC69" s="144"/>
      <c r="DD69" s="144"/>
      <c r="DE69" s="144"/>
      <c r="DF69" s="144"/>
      <c r="DG69" s="144"/>
      <c r="DH69" s="144"/>
      <c r="DI69" s="144"/>
      <c r="DJ69" s="144"/>
      <c r="DK69" s="144"/>
      <c r="DL69" s="144"/>
      <c r="DM69" s="144"/>
      <c r="DN69" s="144"/>
      <c r="DO69" s="144"/>
      <c r="DP69" s="144"/>
      <c r="DQ69" s="144"/>
      <c r="DR69" s="144"/>
      <c r="DS69" s="144"/>
      <c r="DT69" s="144"/>
      <c r="DU69" s="144"/>
      <c r="DV69" s="144"/>
      <c r="DW69" s="144"/>
      <c r="DX69" s="144"/>
      <c r="DY69" s="144"/>
      <c r="DZ69" s="144"/>
      <c r="EA69" s="144"/>
      <c r="EB69" s="144"/>
      <c r="EC69" s="144"/>
      <c r="ED69" s="144"/>
      <c r="EE69" s="144"/>
    </row>
    <row r="70" spans="2:135" s="142" customFormat="1" ht="25.2" x14ac:dyDescent="0.45">
      <c r="B70" s="139"/>
      <c r="C70" s="140"/>
      <c r="D70" s="141"/>
      <c r="E70" s="141"/>
      <c r="F70" s="141"/>
      <c r="G70" s="141"/>
      <c r="J70" s="143"/>
      <c r="K70" s="148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AK70" s="145"/>
      <c r="AO70" s="139"/>
      <c r="AP70" s="139"/>
      <c r="AQ70" s="139"/>
      <c r="AR70" s="139"/>
      <c r="AS70" s="139"/>
      <c r="BG70" s="144"/>
      <c r="CJ70" s="145"/>
      <c r="CL70" s="145"/>
      <c r="CR70" s="146"/>
      <c r="CS70" s="146"/>
      <c r="CT70" s="146"/>
      <c r="CV70" s="146"/>
      <c r="CW70" s="146"/>
      <c r="DB70" s="144"/>
      <c r="DC70" s="144"/>
      <c r="DD70" s="144"/>
      <c r="DE70" s="144"/>
      <c r="DF70" s="144"/>
      <c r="DG70" s="144"/>
      <c r="DH70" s="144"/>
      <c r="DI70" s="144"/>
      <c r="DJ70" s="144"/>
      <c r="DK70" s="144"/>
      <c r="DL70" s="144"/>
      <c r="DM70" s="144"/>
      <c r="DN70" s="144"/>
      <c r="DO70" s="144"/>
      <c r="DP70" s="144"/>
      <c r="DQ70" s="144"/>
      <c r="DR70" s="144"/>
      <c r="DS70" s="144"/>
      <c r="DT70" s="144"/>
      <c r="DU70" s="144"/>
      <c r="DV70" s="144"/>
      <c r="DW70" s="144"/>
      <c r="DX70" s="144"/>
      <c r="DY70" s="144"/>
      <c r="DZ70" s="144"/>
      <c r="EA70" s="144"/>
      <c r="EB70" s="144"/>
      <c r="EC70" s="144"/>
      <c r="ED70" s="144"/>
      <c r="EE70" s="144"/>
    </row>
    <row r="71" spans="2:135" s="142" customFormat="1" ht="25.2" x14ac:dyDescent="0.45">
      <c r="B71" s="139"/>
      <c r="C71" s="140"/>
      <c r="D71" s="141"/>
      <c r="E71" s="141"/>
      <c r="F71" s="141"/>
      <c r="G71" s="141"/>
      <c r="J71" s="143"/>
      <c r="K71" s="148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AK71" s="145"/>
      <c r="AO71" s="139"/>
      <c r="AP71" s="139"/>
      <c r="AQ71" s="139"/>
      <c r="AR71" s="139"/>
      <c r="AS71" s="139"/>
      <c r="BG71" s="144"/>
      <c r="CJ71" s="145"/>
      <c r="CL71" s="145"/>
      <c r="CR71" s="146"/>
      <c r="CS71" s="146"/>
      <c r="CT71" s="146"/>
      <c r="CV71" s="146"/>
      <c r="CW71" s="146"/>
      <c r="DB71" s="144"/>
      <c r="DC71" s="144"/>
      <c r="DD71" s="144"/>
      <c r="DE71" s="144"/>
      <c r="DF71" s="144"/>
      <c r="DG71" s="144"/>
      <c r="DH71" s="144"/>
      <c r="DI71" s="144"/>
      <c r="DJ71" s="144"/>
      <c r="DK71" s="144"/>
      <c r="DL71" s="144"/>
      <c r="DM71" s="144"/>
      <c r="DN71" s="144"/>
      <c r="DO71" s="144"/>
      <c r="DP71" s="144"/>
      <c r="DQ71" s="144"/>
      <c r="DR71" s="144"/>
      <c r="DS71" s="144"/>
      <c r="DT71" s="144"/>
      <c r="DU71" s="144"/>
      <c r="DV71" s="144"/>
      <c r="DW71" s="144"/>
      <c r="DX71" s="144"/>
      <c r="DY71" s="144"/>
      <c r="DZ71" s="144"/>
      <c r="EA71" s="144"/>
      <c r="EB71" s="144"/>
      <c r="EC71" s="144"/>
      <c r="ED71" s="144"/>
      <c r="EE71" s="144"/>
    </row>
    <row r="72" spans="2:135" s="142" customFormat="1" ht="25.2" x14ac:dyDescent="0.45">
      <c r="B72" s="139"/>
      <c r="C72" s="140"/>
      <c r="D72" s="141"/>
      <c r="E72" s="141"/>
      <c r="F72" s="141"/>
      <c r="G72" s="141"/>
      <c r="J72" s="143"/>
      <c r="K72" s="148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AK72" s="145"/>
      <c r="AO72" s="139"/>
      <c r="AP72" s="139"/>
      <c r="AQ72" s="139"/>
      <c r="AR72" s="139"/>
      <c r="AS72" s="139"/>
      <c r="BG72" s="144"/>
      <c r="CJ72" s="145"/>
      <c r="CL72" s="145"/>
      <c r="CR72" s="146"/>
      <c r="CS72" s="146"/>
      <c r="CT72" s="146"/>
      <c r="CV72" s="146"/>
      <c r="CW72" s="146"/>
      <c r="DB72" s="144"/>
      <c r="DC72" s="144"/>
      <c r="DD72" s="144"/>
      <c r="DE72" s="144"/>
      <c r="DF72" s="144"/>
      <c r="DG72" s="144"/>
      <c r="DH72" s="144"/>
      <c r="DI72" s="144"/>
      <c r="DJ72" s="144"/>
      <c r="DK72" s="144"/>
      <c r="DL72" s="144"/>
      <c r="DM72" s="144"/>
      <c r="DN72" s="144"/>
      <c r="DO72" s="144"/>
      <c r="DP72" s="144"/>
      <c r="DQ72" s="144"/>
      <c r="DR72" s="144"/>
      <c r="DS72" s="144"/>
      <c r="DT72" s="144"/>
      <c r="DU72" s="144"/>
      <c r="DV72" s="144"/>
      <c r="DW72" s="144"/>
      <c r="DX72" s="144"/>
      <c r="DY72" s="144"/>
      <c r="DZ72" s="144"/>
      <c r="EA72" s="144"/>
      <c r="EB72" s="144"/>
      <c r="EC72" s="144"/>
      <c r="ED72" s="144"/>
      <c r="EE72" s="144"/>
    </row>
    <row r="73" spans="2:135" s="142" customFormat="1" ht="25.2" x14ac:dyDescent="0.45">
      <c r="B73" s="139"/>
      <c r="C73" s="140"/>
      <c r="D73" s="141"/>
      <c r="E73" s="141"/>
      <c r="F73" s="141"/>
      <c r="G73" s="141"/>
      <c r="J73" s="143"/>
      <c r="K73" s="148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AK73" s="145"/>
      <c r="AO73" s="139"/>
      <c r="AP73" s="139"/>
      <c r="AQ73" s="139"/>
      <c r="AR73" s="139"/>
      <c r="AS73" s="139"/>
      <c r="BG73" s="144"/>
      <c r="CJ73" s="145"/>
      <c r="CL73" s="145"/>
      <c r="CR73" s="146"/>
      <c r="CS73" s="146"/>
      <c r="CT73" s="146"/>
      <c r="CV73" s="146"/>
      <c r="CW73" s="146"/>
      <c r="DB73" s="144"/>
      <c r="DC73" s="144"/>
      <c r="DD73" s="144"/>
      <c r="DE73" s="144"/>
      <c r="DF73" s="144"/>
      <c r="DG73" s="144"/>
      <c r="DH73" s="144"/>
      <c r="DI73" s="144"/>
      <c r="DJ73" s="144"/>
      <c r="DK73" s="144"/>
      <c r="DL73" s="144"/>
      <c r="DM73" s="144"/>
      <c r="DN73" s="144"/>
      <c r="DO73" s="144"/>
      <c r="DP73" s="144"/>
      <c r="DQ73" s="144"/>
      <c r="DR73" s="144"/>
      <c r="DS73" s="144"/>
      <c r="DT73" s="144"/>
      <c r="DU73" s="144"/>
      <c r="DV73" s="144"/>
      <c r="DW73" s="144"/>
      <c r="DX73" s="144"/>
      <c r="DY73" s="144"/>
      <c r="DZ73" s="144"/>
      <c r="EA73" s="144"/>
      <c r="EB73" s="144"/>
      <c r="EC73" s="144"/>
      <c r="ED73" s="144"/>
      <c r="EE73" s="144"/>
    </row>
    <row r="74" spans="2:135" s="142" customFormat="1" ht="25.2" x14ac:dyDescent="0.45">
      <c r="B74" s="139"/>
      <c r="C74" s="140"/>
      <c r="D74" s="141"/>
      <c r="E74" s="141"/>
      <c r="F74" s="141"/>
      <c r="G74" s="141"/>
      <c r="J74" s="143"/>
      <c r="K74" s="148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AK74" s="145"/>
      <c r="AO74" s="139"/>
      <c r="AP74" s="139"/>
      <c r="AQ74" s="139"/>
      <c r="AR74" s="139"/>
      <c r="AS74" s="139"/>
      <c r="BG74" s="144"/>
      <c r="CJ74" s="145"/>
      <c r="CL74" s="145"/>
      <c r="CR74" s="146"/>
      <c r="CS74" s="146"/>
      <c r="CT74" s="146"/>
      <c r="CV74" s="146"/>
      <c r="CW74" s="146"/>
      <c r="DB74" s="144"/>
      <c r="DC74" s="144"/>
      <c r="DD74" s="144"/>
      <c r="DE74" s="144"/>
      <c r="DF74" s="144"/>
      <c r="DG74" s="144"/>
      <c r="DH74" s="144"/>
      <c r="DI74" s="144"/>
      <c r="DJ74" s="144"/>
      <c r="DK74" s="144"/>
      <c r="DL74" s="144"/>
      <c r="DM74" s="144"/>
      <c r="DN74" s="144"/>
      <c r="DO74" s="144"/>
      <c r="DP74" s="144"/>
      <c r="DQ74" s="144"/>
      <c r="DR74" s="144"/>
      <c r="DS74" s="144"/>
      <c r="DT74" s="144"/>
      <c r="DU74" s="144"/>
      <c r="DV74" s="144"/>
      <c r="DW74" s="144"/>
      <c r="DX74" s="144"/>
      <c r="DY74" s="144"/>
      <c r="DZ74" s="144"/>
      <c r="EA74" s="144"/>
      <c r="EB74" s="144"/>
      <c r="EC74" s="144"/>
      <c r="ED74" s="144"/>
      <c r="EE74" s="144"/>
    </row>
    <row r="75" spans="2:135" s="142" customFormat="1" ht="25.2" x14ac:dyDescent="0.45">
      <c r="B75" s="139"/>
      <c r="C75" s="140"/>
      <c r="D75" s="141"/>
      <c r="E75" s="141"/>
      <c r="F75" s="141"/>
      <c r="G75" s="141"/>
      <c r="J75" s="143"/>
      <c r="K75" s="148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AK75" s="145"/>
      <c r="AO75" s="139"/>
      <c r="AP75" s="139"/>
      <c r="AQ75" s="139"/>
      <c r="AR75" s="139"/>
      <c r="AS75" s="139"/>
      <c r="BG75" s="144"/>
      <c r="CJ75" s="145"/>
      <c r="CL75" s="145"/>
      <c r="CR75" s="146"/>
      <c r="CS75" s="146"/>
      <c r="CT75" s="146"/>
      <c r="CV75" s="146"/>
      <c r="CW75" s="146"/>
      <c r="DB75" s="144"/>
      <c r="DC75" s="144"/>
      <c r="DD75" s="144"/>
      <c r="DE75" s="144"/>
      <c r="DF75" s="144"/>
      <c r="DG75" s="144"/>
      <c r="DH75" s="144"/>
      <c r="DI75" s="144"/>
      <c r="DJ75" s="144"/>
      <c r="DK75" s="144"/>
      <c r="DL75" s="144"/>
      <c r="DM75" s="144"/>
      <c r="DN75" s="144"/>
      <c r="DO75" s="144"/>
      <c r="DP75" s="144"/>
      <c r="DQ75" s="144"/>
      <c r="DR75" s="144"/>
      <c r="DS75" s="144"/>
      <c r="DT75" s="144"/>
      <c r="DU75" s="144"/>
      <c r="DV75" s="144"/>
      <c r="DW75" s="144"/>
      <c r="DX75" s="144"/>
      <c r="DY75" s="144"/>
      <c r="DZ75" s="144"/>
      <c r="EA75" s="144"/>
      <c r="EB75" s="144"/>
      <c r="EC75" s="144"/>
      <c r="ED75" s="144"/>
      <c r="EE75" s="144"/>
    </row>
    <row r="76" spans="2:135" s="142" customFormat="1" ht="25.2" x14ac:dyDescent="0.45">
      <c r="B76" s="139"/>
      <c r="C76" s="140"/>
      <c r="D76" s="141"/>
      <c r="E76" s="141"/>
      <c r="F76" s="141"/>
      <c r="G76" s="141"/>
      <c r="J76" s="143"/>
      <c r="K76" s="148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AK76" s="145"/>
      <c r="AO76" s="139"/>
      <c r="AP76" s="139"/>
      <c r="AQ76" s="139"/>
      <c r="AR76" s="139"/>
      <c r="AS76" s="139"/>
      <c r="BG76" s="144"/>
      <c r="CJ76" s="145"/>
      <c r="CL76" s="145"/>
      <c r="CR76" s="146"/>
      <c r="CS76" s="146"/>
      <c r="CT76" s="146"/>
      <c r="CV76" s="146"/>
      <c r="CW76" s="146"/>
      <c r="DB76" s="144"/>
      <c r="DC76" s="144"/>
      <c r="DD76" s="144"/>
      <c r="DE76" s="144"/>
      <c r="DF76" s="144"/>
      <c r="DG76" s="144"/>
      <c r="DH76" s="144"/>
      <c r="DI76" s="144"/>
      <c r="DJ76" s="144"/>
      <c r="DK76" s="144"/>
      <c r="DL76" s="144"/>
      <c r="DM76" s="144"/>
      <c r="DN76" s="144"/>
      <c r="DO76" s="144"/>
      <c r="DP76" s="144"/>
      <c r="DQ76" s="144"/>
      <c r="DR76" s="144"/>
      <c r="DS76" s="144"/>
      <c r="DT76" s="144"/>
      <c r="DU76" s="144"/>
      <c r="DV76" s="144"/>
      <c r="DW76" s="144"/>
      <c r="DX76" s="144"/>
      <c r="DY76" s="144"/>
      <c r="DZ76" s="144"/>
      <c r="EA76" s="144"/>
      <c r="EB76" s="144"/>
      <c r="EC76" s="144"/>
      <c r="ED76" s="144"/>
      <c r="EE76" s="144"/>
    </row>
    <row r="77" spans="2:135" s="142" customFormat="1" ht="25.2" x14ac:dyDescent="0.45">
      <c r="B77" s="139"/>
      <c r="C77" s="140"/>
      <c r="D77" s="141"/>
      <c r="E77" s="141"/>
      <c r="F77" s="141"/>
      <c r="G77" s="141"/>
      <c r="J77" s="143"/>
      <c r="K77" s="148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AK77" s="145"/>
      <c r="AO77" s="139"/>
      <c r="AP77" s="139"/>
      <c r="AQ77" s="139"/>
      <c r="AR77" s="139"/>
      <c r="AS77" s="139"/>
      <c r="BG77" s="144"/>
      <c r="CJ77" s="145"/>
      <c r="CL77" s="145"/>
      <c r="CR77" s="146"/>
      <c r="CS77" s="146"/>
      <c r="CT77" s="146"/>
      <c r="CV77" s="146"/>
      <c r="CW77" s="146"/>
      <c r="DB77" s="144"/>
      <c r="DC77" s="144"/>
      <c r="DD77" s="144"/>
      <c r="DE77" s="144"/>
      <c r="DF77" s="144"/>
      <c r="DG77" s="144"/>
      <c r="DH77" s="144"/>
      <c r="DI77" s="144"/>
      <c r="DJ77" s="144"/>
      <c r="DK77" s="144"/>
      <c r="DL77" s="144"/>
      <c r="DM77" s="144"/>
      <c r="DN77" s="144"/>
      <c r="DO77" s="144"/>
      <c r="DP77" s="144"/>
      <c r="DQ77" s="144"/>
      <c r="DR77" s="144"/>
      <c r="DS77" s="144"/>
      <c r="DT77" s="144"/>
      <c r="DU77" s="144"/>
      <c r="DV77" s="144"/>
      <c r="DW77" s="144"/>
      <c r="DX77" s="144"/>
      <c r="DY77" s="144"/>
      <c r="DZ77" s="144"/>
      <c r="EA77" s="144"/>
      <c r="EB77" s="144"/>
      <c r="EC77" s="144"/>
      <c r="ED77" s="144"/>
      <c r="EE77" s="144"/>
    </row>
    <row r="78" spans="2:135" s="142" customFormat="1" ht="25.2" x14ac:dyDescent="0.45">
      <c r="B78" s="139"/>
      <c r="C78" s="140"/>
      <c r="D78" s="141"/>
      <c r="E78" s="141"/>
      <c r="F78" s="141"/>
      <c r="G78" s="141"/>
      <c r="J78" s="143"/>
      <c r="K78" s="148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AK78" s="145"/>
      <c r="AO78" s="139"/>
      <c r="AP78" s="139"/>
      <c r="AQ78" s="139"/>
      <c r="AR78" s="139"/>
      <c r="AS78" s="139"/>
      <c r="BG78" s="144"/>
      <c r="CJ78" s="145"/>
      <c r="CL78" s="145"/>
      <c r="CR78" s="146"/>
      <c r="CS78" s="146"/>
      <c r="CT78" s="146"/>
      <c r="CV78" s="146"/>
      <c r="CW78" s="146"/>
      <c r="DB78" s="144"/>
      <c r="DC78" s="144"/>
      <c r="DD78" s="144"/>
      <c r="DE78" s="144"/>
      <c r="DF78" s="144"/>
      <c r="DG78" s="144"/>
      <c r="DH78" s="144"/>
      <c r="DI78" s="144"/>
      <c r="DJ78" s="144"/>
      <c r="DK78" s="144"/>
      <c r="DL78" s="144"/>
      <c r="DM78" s="144"/>
      <c r="DN78" s="144"/>
      <c r="DO78" s="144"/>
      <c r="DP78" s="144"/>
      <c r="DQ78" s="144"/>
      <c r="DR78" s="144"/>
      <c r="DS78" s="144"/>
      <c r="DT78" s="144"/>
      <c r="DU78" s="144"/>
      <c r="DV78" s="144"/>
      <c r="DW78" s="144"/>
      <c r="DX78" s="144"/>
      <c r="DY78" s="144"/>
      <c r="DZ78" s="144"/>
      <c r="EA78" s="144"/>
      <c r="EB78" s="144"/>
      <c r="EC78" s="144"/>
      <c r="ED78" s="144"/>
      <c r="EE78" s="144"/>
    </row>
    <row r="79" spans="2:135" s="142" customFormat="1" ht="25.2" x14ac:dyDescent="0.45">
      <c r="B79" s="139"/>
      <c r="C79" s="140"/>
      <c r="D79" s="141"/>
      <c r="E79" s="141"/>
      <c r="F79" s="141"/>
      <c r="G79" s="141"/>
      <c r="J79" s="143"/>
      <c r="K79" s="148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AK79" s="145"/>
      <c r="AO79" s="139"/>
      <c r="AP79" s="139"/>
      <c r="AQ79" s="139"/>
      <c r="AR79" s="139"/>
      <c r="AS79" s="139"/>
      <c r="BG79" s="144"/>
      <c r="CJ79" s="145"/>
      <c r="CL79" s="145"/>
      <c r="CR79" s="146"/>
      <c r="CS79" s="146"/>
      <c r="CT79" s="146"/>
      <c r="CV79" s="146"/>
      <c r="CW79" s="146"/>
      <c r="DB79" s="144"/>
      <c r="DC79" s="144"/>
      <c r="DD79" s="144"/>
      <c r="DE79" s="144"/>
      <c r="DF79" s="144"/>
      <c r="DG79" s="144"/>
      <c r="DH79" s="144"/>
      <c r="DI79" s="144"/>
      <c r="DJ79" s="144"/>
      <c r="DK79" s="144"/>
      <c r="DL79" s="144"/>
      <c r="DM79" s="144"/>
      <c r="DN79" s="144"/>
      <c r="DO79" s="144"/>
      <c r="DP79" s="144"/>
      <c r="DQ79" s="144"/>
      <c r="DR79" s="144"/>
      <c r="DS79" s="144"/>
      <c r="DT79" s="144"/>
      <c r="DU79" s="144"/>
      <c r="DV79" s="144"/>
      <c r="DW79" s="144"/>
      <c r="DX79" s="144"/>
      <c r="DY79" s="144"/>
      <c r="DZ79" s="144"/>
      <c r="EA79" s="144"/>
      <c r="EB79" s="144"/>
      <c r="EC79" s="144"/>
      <c r="ED79" s="144"/>
      <c r="EE79" s="144"/>
    </row>
    <row r="80" spans="2:135" s="142" customFormat="1" ht="25.2" x14ac:dyDescent="0.45">
      <c r="B80" s="139"/>
      <c r="C80" s="140"/>
      <c r="D80" s="141"/>
      <c r="E80" s="141"/>
      <c r="F80" s="141"/>
      <c r="G80" s="141"/>
      <c r="J80" s="143"/>
      <c r="K80" s="148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AK80" s="145"/>
      <c r="AO80" s="139"/>
      <c r="AP80" s="139"/>
      <c r="AQ80" s="139"/>
      <c r="AR80" s="139"/>
      <c r="AS80" s="139"/>
      <c r="BG80" s="144"/>
      <c r="CJ80" s="145"/>
      <c r="CL80" s="145"/>
      <c r="CR80" s="146"/>
      <c r="CS80" s="146"/>
      <c r="CT80" s="146"/>
      <c r="CV80" s="146"/>
      <c r="CW80" s="146"/>
      <c r="DB80" s="144"/>
      <c r="DC80" s="144"/>
      <c r="DD80" s="144"/>
      <c r="DE80" s="144"/>
      <c r="DF80" s="144"/>
      <c r="DG80" s="144"/>
      <c r="DH80" s="144"/>
      <c r="DI80" s="144"/>
      <c r="DJ80" s="144"/>
      <c r="DK80" s="144"/>
      <c r="DL80" s="144"/>
      <c r="DM80" s="144"/>
      <c r="DN80" s="144"/>
      <c r="DO80" s="144"/>
      <c r="DP80" s="144"/>
      <c r="DQ80" s="144"/>
      <c r="DR80" s="144"/>
      <c r="DS80" s="144"/>
      <c r="DT80" s="144"/>
      <c r="DU80" s="144"/>
      <c r="DV80" s="144"/>
      <c r="DW80" s="144"/>
      <c r="DX80" s="144"/>
      <c r="DY80" s="144"/>
      <c r="DZ80" s="144"/>
      <c r="EA80" s="144"/>
      <c r="EB80" s="144"/>
      <c r="EC80" s="144"/>
      <c r="ED80" s="144"/>
      <c r="EE80" s="144"/>
    </row>
    <row r="81" spans="2:136" s="142" customFormat="1" ht="25.2" x14ac:dyDescent="0.45">
      <c r="B81" s="139"/>
      <c r="C81" s="140"/>
      <c r="D81" s="141"/>
      <c r="E81" s="141"/>
      <c r="F81" s="141"/>
      <c r="G81" s="141"/>
      <c r="J81" s="143"/>
      <c r="K81" s="148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AK81" s="145"/>
      <c r="AO81" s="139"/>
      <c r="AP81" s="139"/>
      <c r="AQ81" s="139"/>
      <c r="AR81" s="139"/>
      <c r="AS81" s="139"/>
      <c r="BG81" s="144"/>
      <c r="CJ81" s="145"/>
      <c r="CL81" s="145"/>
      <c r="CR81" s="146"/>
      <c r="CS81" s="146"/>
      <c r="CT81" s="146"/>
      <c r="CV81" s="146"/>
      <c r="CW81" s="146"/>
      <c r="DB81" s="144"/>
      <c r="DC81" s="144"/>
      <c r="DD81" s="144"/>
      <c r="DE81" s="144"/>
      <c r="DF81" s="144"/>
      <c r="DG81" s="144"/>
      <c r="DH81" s="144"/>
      <c r="DI81" s="144"/>
      <c r="DJ81" s="144"/>
      <c r="DK81" s="144"/>
      <c r="DL81" s="144"/>
      <c r="DM81" s="144"/>
      <c r="DN81" s="144"/>
      <c r="DO81" s="144"/>
      <c r="DP81" s="144"/>
      <c r="DQ81" s="144"/>
      <c r="DR81" s="144"/>
      <c r="DS81" s="144"/>
      <c r="DT81" s="144"/>
      <c r="DU81" s="144"/>
      <c r="DV81" s="144"/>
      <c r="DW81" s="144"/>
      <c r="DX81" s="144"/>
      <c r="DY81" s="144"/>
      <c r="DZ81" s="144"/>
      <c r="EA81" s="144"/>
      <c r="EB81" s="144"/>
      <c r="EC81" s="144"/>
      <c r="ED81" s="144"/>
      <c r="EE81" s="144"/>
    </row>
    <row r="82" spans="2:136" s="142" customFormat="1" ht="25.2" x14ac:dyDescent="0.45">
      <c r="B82" s="139"/>
      <c r="C82" s="140"/>
      <c r="D82" s="141"/>
      <c r="E82" s="141"/>
      <c r="F82" s="141"/>
      <c r="G82" s="141"/>
      <c r="J82" s="143"/>
      <c r="K82" s="148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AK82" s="145"/>
      <c r="AO82" s="139"/>
      <c r="AP82" s="139"/>
      <c r="AQ82" s="139"/>
      <c r="AR82" s="139"/>
      <c r="AS82" s="139"/>
      <c r="BG82" s="144"/>
      <c r="CJ82" s="145"/>
      <c r="CL82" s="145"/>
      <c r="CR82" s="146"/>
      <c r="CS82" s="146"/>
      <c r="CT82" s="146"/>
      <c r="CV82" s="146"/>
      <c r="CW82" s="146"/>
      <c r="DB82" s="144"/>
      <c r="DC82" s="144"/>
      <c r="DD82" s="144"/>
      <c r="DE82" s="144"/>
      <c r="DF82" s="144"/>
      <c r="DG82" s="144"/>
      <c r="DH82" s="144"/>
      <c r="DI82" s="144"/>
      <c r="DJ82" s="144"/>
      <c r="DK82" s="144"/>
      <c r="DL82" s="144"/>
      <c r="DM82" s="144"/>
      <c r="DN82" s="144"/>
      <c r="DO82" s="144"/>
      <c r="DP82" s="144"/>
      <c r="DQ82" s="144"/>
      <c r="DR82" s="144"/>
      <c r="DS82" s="144"/>
      <c r="DT82" s="144"/>
      <c r="DU82" s="144"/>
      <c r="DV82" s="144"/>
      <c r="DW82" s="144"/>
      <c r="DX82" s="144"/>
      <c r="DY82" s="144"/>
      <c r="DZ82" s="144"/>
      <c r="EA82" s="144"/>
      <c r="EB82" s="144"/>
      <c r="EC82" s="144"/>
      <c r="ED82" s="144"/>
      <c r="EE82" s="144"/>
    </row>
    <row r="83" spans="2:136" s="142" customFormat="1" ht="25.2" x14ac:dyDescent="0.45">
      <c r="B83" s="139"/>
      <c r="C83" s="140"/>
      <c r="D83" s="141"/>
      <c r="E83" s="141"/>
      <c r="F83" s="141"/>
      <c r="G83" s="141"/>
      <c r="J83" s="143"/>
      <c r="K83" s="148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AK83" s="145"/>
      <c r="AO83" s="139"/>
      <c r="AP83" s="139"/>
      <c r="AQ83" s="139"/>
      <c r="AR83" s="139"/>
      <c r="AS83" s="139"/>
      <c r="BG83" s="144"/>
      <c r="CJ83" s="145"/>
      <c r="CL83" s="145"/>
      <c r="CR83" s="146"/>
      <c r="CS83" s="146"/>
      <c r="CT83" s="146"/>
      <c r="CV83" s="146"/>
      <c r="CW83" s="146"/>
      <c r="DB83" s="144"/>
      <c r="DC83" s="144"/>
      <c r="DD83" s="144"/>
      <c r="DE83" s="144"/>
      <c r="DF83" s="144"/>
      <c r="DG83" s="144"/>
      <c r="DH83" s="144"/>
      <c r="DI83" s="144"/>
      <c r="DJ83" s="144"/>
      <c r="DK83" s="144"/>
      <c r="DL83" s="144"/>
      <c r="DM83" s="144"/>
      <c r="DN83" s="144"/>
      <c r="DO83" s="144"/>
      <c r="DP83" s="144"/>
      <c r="DQ83" s="144"/>
      <c r="DR83" s="144"/>
      <c r="DS83" s="144"/>
      <c r="DT83" s="144"/>
      <c r="DU83" s="144"/>
      <c r="DV83" s="144"/>
      <c r="DW83" s="144"/>
      <c r="DX83" s="144"/>
      <c r="DY83" s="144"/>
      <c r="DZ83" s="144"/>
      <c r="EA83" s="144"/>
      <c r="EB83" s="144"/>
      <c r="EC83" s="144"/>
      <c r="ED83" s="144"/>
      <c r="EE83" s="144"/>
    </row>
    <row r="84" spans="2:136" s="142" customFormat="1" ht="25.2" x14ac:dyDescent="0.45">
      <c r="B84" s="139"/>
      <c r="C84" s="140"/>
      <c r="D84" s="141"/>
      <c r="E84" s="141"/>
      <c r="F84" s="141"/>
      <c r="G84" s="141"/>
      <c r="J84" s="143"/>
      <c r="K84" s="148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AK84" s="145"/>
      <c r="AO84" s="139"/>
      <c r="AP84" s="139"/>
      <c r="AQ84" s="139"/>
      <c r="AR84" s="139"/>
      <c r="AS84" s="139"/>
      <c r="BG84" s="144"/>
      <c r="CJ84" s="145"/>
      <c r="CL84" s="145"/>
      <c r="CR84" s="146"/>
      <c r="CS84" s="146"/>
      <c r="CT84" s="146"/>
      <c r="CV84" s="146"/>
      <c r="CW84" s="146"/>
      <c r="DB84" s="144"/>
      <c r="DC84" s="144"/>
      <c r="DD84" s="144"/>
      <c r="DE84" s="144"/>
      <c r="DF84" s="144"/>
      <c r="DG84" s="144"/>
      <c r="DH84" s="144"/>
      <c r="DI84" s="144"/>
      <c r="DJ84" s="144"/>
      <c r="DK84" s="144"/>
      <c r="DL84" s="144"/>
      <c r="DM84" s="144"/>
      <c r="DN84" s="144"/>
      <c r="DO84" s="144"/>
      <c r="DP84" s="144"/>
      <c r="DQ84" s="144"/>
      <c r="DR84" s="144"/>
      <c r="DS84" s="144"/>
      <c r="DT84" s="144"/>
      <c r="DU84" s="144"/>
      <c r="DV84" s="144"/>
      <c r="DW84" s="144"/>
      <c r="DX84" s="144"/>
      <c r="DY84" s="144"/>
      <c r="DZ84" s="144"/>
      <c r="EA84" s="144"/>
      <c r="EB84" s="144"/>
      <c r="EC84" s="144"/>
      <c r="ED84" s="144"/>
      <c r="EE84" s="144"/>
    </row>
    <row r="85" spans="2:136" ht="13.8" x14ac:dyDescent="0.25">
      <c r="C85" s="150"/>
      <c r="J85" s="153"/>
      <c r="K85" s="154"/>
      <c r="Y85" s="152"/>
      <c r="AL85" s="152"/>
      <c r="AO85" s="149"/>
      <c r="AP85" s="149"/>
      <c r="AQ85" s="149"/>
      <c r="AR85" s="149"/>
      <c r="AS85" s="149"/>
      <c r="BG85" s="155"/>
      <c r="BH85" s="152"/>
      <c r="EF85" s="152"/>
    </row>
    <row r="86" spans="2:136" ht="13.8" x14ac:dyDescent="0.25">
      <c r="C86" s="150"/>
      <c r="J86" s="153"/>
      <c r="K86" s="154"/>
      <c r="Y86" s="152"/>
      <c r="AL86" s="152"/>
      <c r="AO86" s="149"/>
      <c r="AP86" s="149"/>
      <c r="AQ86" s="149"/>
      <c r="AR86" s="149"/>
      <c r="AS86" s="149"/>
      <c r="BG86" s="155"/>
      <c r="BH86" s="152"/>
      <c r="EF86" s="152"/>
    </row>
    <row r="87" spans="2:136" ht="13.8" x14ac:dyDescent="0.25">
      <c r="C87" s="150"/>
      <c r="J87" s="153"/>
      <c r="K87" s="154"/>
      <c r="Y87" s="152"/>
      <c r="AL87" s="152"/>
      <c r="AO87" s="149"/>
      <c r="AP87" s="149"/>
      <c r="AQ87" s="149"/>
      <c r="AR87" s="149"/>
      <c r="AS87" s="149"/>
      <c r="BG87" s="155"/>
      <c r="BH87" s="152"/>
      <c r="EF87" s="152"/>
    </row>
    <row r="88" spans="2:136" ht="13.8" x14ac:dyDescent="0.25">
      <c r="C88" s="150"/>
      <c r="J88" s="153"/>
      <c r="K88" s="154"/>
      <c r="Y88" s="152"/>
      <c r="AL88" s="152"/>
      <c r="AO88" s="149"/>
      <c r="AP88" s="149"/>
      <c r="AQ88" s="149"/>
      <c r="AR88" s="149"/>
      <c r="AS88" s="149"/>
      <c r="BG88" s="155"/>
      <c r="BH88" s="152"/>
      <c r="EF88" s="152"/>
    </row>
    <row r="89" spans="2:136" ht="13.8" x14ac:dyDescent="0.25">
      <c r="C89" s="150"/>
      <c r="J89" s="153"/>
      <c r="K89" s="154"/>
      <c r="Y89" s="152"/>
      <c r="AL89" s="152"/>
      <c r="AO89" s="149"/>
      <c r="AP89" s="149"/>
      <c r="AQ89" s="149"/>
      <c r="AR89" s="149"/>
      <c r="AS89" s="149"/>
      <c r="BG89" s="155"/>
      <c r="BH89" s="152"/>
      <c r="EF89" s="152"/>
    </row>
    <row r="90" spans="2:136" ht="13.8" x14ac:dyDescent="0.25">
      <c r="C90" s="150"/>
      <c r="J90" s="153"/>
      <c r="K90" s="154"/>
      <c r="Y90" s="152"/>
      <c r="AL90" s="152"/>
      <c r="AO90" s="149"/>
      <c r="AP90" s="149"/>
      <c r="AQ90" s="149"/>
      <c r="AR90" s="149"/>
      <c r="AS90" s="149"/>
      <c r="BG90" s="155"/>
      <c r="BH90" s="152"/>
      <c r="EF90" s="152"/>
    </row>
    <row r="91" spans="2:136" ht="13.8" x14ac:dyDescent="0.25">
      <c r="C91" s="150"/>
      <c r="J91" s="153"/>
      <c r="K91" s="154"/>
      <c r="Y91" s="152"/>
      <c r="AL91" s="152"/>
      <c r="AO91" s="149"/>
      <c r="AP91" s="149"/>
      <c r="AQ91" s="149"/>
      <c r="AR91" s="149"/>
      <c r="AS91" s="149"/>
      <c r="BG91" s="155"/>
      <c r="BH91" s="152"/>
      <c r="EF91" s="152"/>
    </row>
    <row r="92" spans="2:136" ht="13.8" x14ac:dyDescent="0.25">
      <c r="C92" s="150"/>
      <c r="J92" s="153"/>
      <c r="K92" s="154"/>
      <c r="Y92" s="152"/>
      <c r="AL92" s="152"/>
      <c r="AO92" s="149"/>
      <c r="AP92" s="149"/>
      <c r="AQ92" s="149"/>
      <c r="AR92" s="149"/>
      <c r="AS92" s="149"/>
      <c r="BG92" s="155"/>
      <c r="BH92" s="152"/>
      <c r="EF92" s="152"/>
    </row>
    <row r="93" spans="2:136" ht="13.8" x14ac:dyDescent="0.25">
      <c r="C93" s="150"/>
      <c r="J93" s="153"/>
      <c r="K93" s="154"/>
      <c r="Y93" s="152"/>
      <c r="AL93" s="152"/>
      <c r="AO93" s="149"/>
      <c r="AP93" s="149"/>
      <c r="AQ93" s="149"/>
      <c r="AR93" s="149"/>
      <c r="AS93" s="149"/>
      <c r="BG93" s="155"/>
      <c r="BH93" s="152"/>
      <c r="EF93" s="152"/>
    </row>
    <row r="94" spans="2:136" ht="13.8" x14ac:dyDescent="0.25">
      <c r="C94" s="150"/>
      <c r="J94" s="153"/>
      <c r="K94" s="154"/>
      <c r="Y94" s="152"/>
      <c r="AL94" s="152"/>
      <c r="AO94" s="149"/>
      <c r="AP94" s="149"/>
      <c r="AQ94" s="149"/>
      <c r="AR94" s="149"/>
      <c r="AS94" s="149"/>
      <c r="BG94" s="155"/>
      <c r="BH94" s="152"/>
      <c r="EF94" s="152"/>
    </row>
    <row r="95" spans="2:136" ht="13.8" x14ac:dyDescent="0.25">
      <c r="C95" s="150"/>
      <c r="J95" s="153"/>
      <c r="K95" s="154"/>
      <c r="Y95" s="152"/>
      <c r="AL95" s="152"/>
      <c r="AO95" s="149"/>
      <c r="AP95" s="149"/>
      <c r="AQ95" s="149"/>
      <c r="AR95" s="149"/>
      <c r="AS95" s="149"/>
      <c r="BG95" s="155"/>
      <c r="BH95" s="152"/>
      <c r="EF95" s="152"/>
    </row>
    <row r="96" spans="2:136" ht="13.8" x14ac:dyDescent="0.25">
      <c r="C96" s="150"/>
      <c r="J96" s="153"/>
      <c r="K96" s="154"/>
      <c r="Y96" s="152"/>
      <c r="AL96" s="152"/>
      <c r="AO96" s="149"/>
      <c r="AP96" s="149"/>
      <c r="AQ96" s="149"/>
      <c r="AR96" s="149"/>
      <c r="AS96" s="149"/>
      <c r="BG96" s="155"/>
      <c r="BH96" s="152"/>
      <c r="EF96" s="152"/>
    </row>
    <row r="97" spans="3:136" ht="13.8" x14ac:dyDescent="0.25">
      <c r="C97" s="150"/>
      <c r="J97" s="153"/>
      <c r="K97" s="154"/>
      <c r="Y97" s="152"/>
      <c r="AL97" s="152"/>
      <c r="AO97" s="149"/>
      <c r="AP97" s="149"/>
      <c r="AQ97" s="149"/>
      <c r="AR97" s="149"/>
      <c r="AS97" s="149"/>
      <c r="BG97" s="155"/>
      <c r="BH97" s="152"/>
      <c r="EF97" s="152"/>
    </row>
    <row r="98" spans="3:136" ht="13.8" x14ac:dyDescent="0.25">
      <c r="C98" s="150"/>
      <c r="J98" s="153"/>
      <c r="K98" s="154"/>
      <c r="Y98" s="152"/>
      <c r="AL98" s="152"/>
      <c r="AO98" s="149"/>
      <c r="AP98" s="149"/>
      <c r="AQ98" s="149"/>
      <c r="AR98" s="149"/>
      <c r="AS98" s="149"/>
      <c r="BG98" s="155"/>
      <c r="BH98" s="152"/>
      <c r="EF98" s="152"/>
    </row>
    <row r="99" spans="3:136" ht="13.8" x14ac:dyDescent="0.25">
      <c r="C99" s="150"/>
      <c r="J99" s="153"/>
      <c r="K99" s="154"/>
      <c r="Y99" s="152"/>
      <c r="AL99" s="152"/>
      <c r="AO99" s="149"/>
      <c r="AP99" s="149"/>
      <c r="AQ99" s="149"/>
      <c r="AR99" s="149"/>
      <c r="AS99" s="149"/>
      <c r="BG99" s="155"/>
      <c r="BH99" s="152"/>
      <c r="EF99" s="152"/>
    </row>
    <row r="100" spans="3:136" ht="13.8" x14ac:dyDescent="0.25">
      <c r="C100" s="150"/>
      <c r="J100" s="153"/>
      <c r="K100" s="154"/>
      <c r="Y100" s="152"/>
      <c r="AL100" s="152"/>
      <c r="AO100" s="149"/>
      <c r="AP100" s="149"/>
      <c r="AQ100" s="149"/>
      <c r="AR100" s="149"/>
      <c r="AS100" s="149"/>
      <c r="BG100" s="155"/>
      <c r="BH100" s="152"/>
      <c r="EF100" s="152"/>
    </row>
    <row r="101" spans="3:136" ht="13.8" x14ac:dyDescent="0.25">
      <c r="C101" s="150"/>
      <c r="J101" s="153"/>
      <c r="K101" s="154"/>
      <c r="Y101" s="152"/>
      <c r="AL101" s="152"/>
      <c r="AO101" s="149"/>
      <c r="AP101" s="149"/>
      <c r="AQ101" s="149"/>
      <c r="AR101" s="149"/>
      <c r="AS101" s="149"/>
      <c r="BG101" s="155"/>
      <c r="BH101" s="152"/>
      <c r="EF101" s="152"/>
    </row>
    <row r="102" spans="3:136" ht="13.8" x14ac:dyDescent="0.25">
      <c r="C102" s="150"/>
      <c r="J102" s="153"/>
      <c r="K102" s="154"/>
      <c r="Y102" s="152"/>
      <c r="AL102" s="152"/>
      <c r="AO102" s="149"/>
      <c r="AP102" s="149"/>
      <c r="AQ102" s="149"/>
      <c r="AR102" s="149"/>
      <c r="AS102" s="149"/>
      <c r="BG102" s="155"/>
      <c r="BH102" s="152"/>
      <c r="EF102" s="152"/>
    </row>
    <row r="103" spans="3:136" ht="13.8" x14ac:dyDescent="0.25">
      <c r="C103" s="150"/>
      <c r="J103" s="153"/>
      <c r="K103" s="154"/>
      <c r="Y103" s="152"/>
      <c r="AL103" s="152"/>
      <c r="AO103" s="149"/>
      <c r="AP103" s="149"/>
      <c r="AQ103" s="149"/>
      <c r="AR103" s="149"/>
      <c r="AS103" s="149"/>
      <c r="BG103" s="155"/>
      <c r="BH103" s="152"/>
      <c r="EF103" s="152"/>
    </row>
    <row r="104" spans="3:136" ht="13.8" x14ac:dyDescent="0.25">
      <c r="C104" s="150"/>
      <c r="J104" s="153"/>
      <c r="K104" s="154"/>
      <c r="Y104" s="152"/>
      <c r="AL104" s="152"/>
      <c r="AO104" s="149"/>
      <c r="AP104" s="149"/>
      <c r="AQ104" s="149"/>
      <c r="AR104" s="149"/>
      <c r="AS104" s="149"/>
      <c r="BG104" s="155"/>
      <c r="BH104" s="152"/>
      <c r="EF104" s="152"/>
    </row>
    <row r="105" spans="3:136" ht="13.8" x14ac:dyDescent="0.25">
      <c r="C105" s="150"/>
      <c r="J105" s="153"/>
      <c r="K105" s="154"/>
      <c r="Y105" s="152"/>
      <c r="AL105" s="152"/>
      <c r="AO105" s="149"/>
      <c r="AP105" s="149"/>
      <c r="AQ105" s="149"/>
      <c r="AR105" s="149"/>
      <c r="AS105" s="149"/>
      <c r="BG105" s="155"/>
      <c r="BH105" s="152"/>
      <c r="EF105" s="152"/>
    </row>
    <row r="106" spans="3:136" ht="13.8" x14ac:dyDescent="0.25">
      <c r="C106" s="150"/>
      <c r="J106" s="153"/>
      <c r="K106" s="154"/>
      <c r="Y106" s="152"/>
      <c r="AL106" s="152"/>
      <c r="AO106" s="149"/>
      <c r="AP106" s="149"/>
      <c r="AQ106" s="149"/>
      <c r="AR106" s="149"/>
      <c r="AS106" s="149"/>
      <c r="BG106" s="155"/>
      <c r="BH106" s="152"/>
      <c r="EF106" s="152"/>
    </row>
    <row r="107" spans="3:136" ht="13.8" x14ac:dyDescent="0.25">
      <c r="C107" s="150"/>
      <c r="J107" s="153"/>
      <c r="K107" s="154"/>
      <c r="Y107" s="152"/>
      <c r="AL107" s="152"/>
      <c r="AO107" s="149"/>
      <c r="AP107" s="149"/>
      <c r="AQ107" s="149"/>
      <c r="AR107" s="149"/>
      <c r="AS107" s="149"/>
      <c r="BG107" s="155"/>
      <c r="BH107" s="152"/>
      <c r="EF107" s="152"/>
    </row>
    <row r="108" spans="3:136" ht="13.8" x14ac:dyDescent="0.25">
      <c r="C108" s="150"/>
      <c r="J108" s="153"/>
      <c r="K108" s="154"/>
      <c r="Y108" s="152"/>
      <c r="AL108" s="152"/>
      <c r="AO108" s="149"/>
      <c r="AP108" s="149"/>
      <c r="AQ108" s="149"/>
      <c r="AR108" s="149"/>
      <c r="AS108" s="149"/>
      <c r="BG108" s="155"/>
      <c r="BH108" s="152"/>
      <c r="EF108" s="152"/>
    </row>
    <row r="109" spans="3:136" ht="13.8" x14ac:dyDescent="0.25">
      <c r="C109" s="150"/>
      <c r="J109" s="153"/>
      <c r="K109" s="154"/>
      <c r="Y109" s="152"/>
      <c r="AL109" s="152"/>
      <c r="AO109" s="149"/>
      <c r="AP109" s="149"/>
      <c r="AQ109" s="149"/>
      <c r="AR109" s="149"/>
      <c r="AS109" s="149"/>
      <c r="BG109" s="155"/>
      <c r="BH109" s="152"/>
      <c r="EF109" s="152"/>
    </row>
    <row r="110" spans="3:136" ht="13.8" x14ac:dyDescent="0.25">
      <c r="C110" s="150"/>
      <c r="J110" s="153"/>
      <c r="K110" s="154"/>
      <c r="Y110" s="152"/>
      <c r="AL110" s="152"/>
      <c r="AO110" s="149"/>
      <c r="AP110" s="149"/>
      <c r="AQ110" s="149"/>
      <c r="AR110" s="149"/>
      <c r="AS110" s="149"/>
      <c r="BG110" s="155"/>
      <c r="BH110" s="152"/>
      <c r="EF110" s="152"/>
    </row>
    <row r="111" spans="3:136" ht="13.8" x14ac:dyDescent="0.25">
      <c r="C111" s="150"/>
      <c r="J111" s="153"/>
      <c r="K111" s="154"/>
      <c r="Y111" s="152"/>
      <c r="AL111" s="152"/>
      <c r="AO111" s="149"/>
      <c r="AP111" s="149"/>
      <c r="AQ111" s="149"/>
      <c r="AR111" s="149"/>
      <c r="AS111" s="149"/>
      <c r="BG111" s="155"/>
      <c r="BH111" s="152"/>
      <c r="EF111" s="152"/>
    </row>
    <row r="112" spans="3:136" ht="13.8" x14ac:dyDescent="0.25">
      <c r="C112" s="150"/>
      <c r="J112" s="153"/>
      <c r="K112" s="154"/>
      <c r="Y112" s="152"/>
      <c r="AL112" s="152"/>
      <c r="AO112" s="149"/>
      <c r="AP112" s="149"/>
      <c r="AQ112" s="149"/>
      <c r="AR112" s="149"/>
      <c r="AS112" s="149"/>
      <c r="BG112" s="155"/>
      <c r="BH112" s="152"/>
      <c r="EF112" s="152"/>
    </row>
    <row r="113" spans="3:136" ht="13.8" x14ac:dyDescent="0.25">
      <c r="C113" s="150"/>
      <c r="J113" s="153"/>
      <c r="K113" s="154"/>
      <c r="Y113" s="152"/>
      <c r="AL113" s="152"/>
      <c r="AO113" s="149"/>
      <c r="AP113" s="149"/>
      <c r="AQ113" s="149"/>
      <c r="AR113" s="149"/>
      <c r="AS113" s="149"/>
      <c r="BG113" s="155"/>
      <c r="BH113" s="152"/>
      <c r="EF113" s="152"/>
    </row>
    <row r="114" spans="3:136" ht="13.8" x14ac:dyDescent="0.25">
      <c r="C114" s="150"/>
      <c r="J114" s="153"/>
      <c r="K114" s="154"/>
      <c r="Y114" s="152"/>
      <c r="AL114" s="152"/>
      <c r="AO114" s="149"/>
      <c r="AP114" s="149"/>
      <c r="AQ114" s="149"/>
      <c r="AR114" s="149"/>
      <c r="AS114" s="149"/>
      <c r="BG114" s="155"/>
      <c r="BH114" s="152"/>
      <c r="EF114" s="152"/>
    </row>
    <row r="115" spans="3:136" ht="13.8" x14ac:dyDescent="0.25">
      <c r="C115" s="150"/>
      <c r="J115" s="153"/>
      <c r="K115" s="154"/>
      <c r="Y115" s="152"/>
      <c r="AL115" s="152"/>
      <c r="AO115" s="149"/>
      <c r="AP115" s="149"/>
      <c r="AQ115" s="149"/>
      <c r="AR115" s="149"/>
      <c r="AS115" s="149"/>
      <c r="BG115" s="155"/>
      <c r="BH115" s="152"/>
      <c r="EF115" s="152"/>
    </row>
    <row r="116" spans="3:136" ht="13.8" x14ac:dyDescent="0.25">
      <c r="C116" s="150"/>
      <c r="J116" s="153"/>
      <c r="K116" s="154"/>
      <c r="Y116" s="152"/>
      <c r="AL116" s="152"/>
      <c r="AO116" s="149"/>
      <c r="AP116" s="149"/>
      <c r="AQ116" s="149"/>
      <c r="AR116" s="149"/>
      <c r="AS116" s="149"/>
      <c r="BG116" s="155"/>
      <c r="BH116" s="152"/>
      <c r="EF116" s="152"/>
    </row>
    <row r="117" spans="3:136" ht="13.8" x14ac:dyDescent="0.25">
      <c r="C117" s="150"/>
      <c r="J117" s="153"/>
      <c r="K117" s="154"/>
      <c r="Y117" s="152"/>
      <c r="AL117" s="152"/>
      <c r="AO117" s="149"/>
      <c r="AP117" s="149"/>
      <c r="AQ117" s="149"/>
      <c r="AR117" s="149"/>
      <c r="AS117" s="149"/>
      <c r="BG117" s="155"/>
      <c r="BH117" s="152"/>
      <c r="EF117" s="152"/>
    </row>
    <row r="118" spans="3:136" ht="13.8" x14ac:dyDescent="0.25">
      <c r="C118" s="150"/>
      <c r="J118" s="153"/>
      <c r="K118" s="154"/>
      <c r="Y118" s="152"/>
      <c r="AL118" s="152"/>
      <c r="AO118" s="149"/>
      <c r="AP118" s="149"/>
      <c r="AQ118" s="149"/>
      <c r="AR118" s="149"/>
      <c r="AS118" s="149"/>
      <c r="BG118" s="155"/>
      <c r="BH118" s="152"/>
      <c r="EF118" s="152"/>
    </row>
    <row r="119" spans="3:136" ht="13.8" x14ac:dyDescent="0.25">
      <c r="C119" s="150"/>
      <c r="J119" s="153"/>
      <c r="K119" s="154"/>
      <c r="Y119" s="152"/>
      <c r="AL119" s="152"/>
      <c r="AO119" s="149"/>
      <c r="AP119" s="149"/>
      <c r="AQ119" s="149"/>
      <c r="AR119" s="149"/>
      <c r="AS119" s="149"/>
      <c r="BG119" s="155"/>
      <c r="BH119" s="152"/>
      <c r="EF119" s="152"/>
    </row>
    <row r="120" spans="3:136" ht="13.8" x14ac:dyDescent="0.25">
      <c r="C120" s="150"/>
      <c r="J120" s="153"/>
      <c r="K120" s="154"/>
      <c r="Y120" s="152"/>
      <c r="AL120" s="152"/>
      <c r="AO120" s="149"/>
      <c r="AP120" s="149"/>
      <c r="AQ120" s="149"/>
      <c r="AR120" s="149"/>
      <c r="AS120" s="149"/>
      <c r="BG120" s="155"/>
      <c r="BH120" s="152"/>
      <c r="EF120" s="152"/>
    </row>
    <row r="121" spans="3:136" ht="13.8" x14ac:dyDescent="0.25">
      <c r="C121" s="150"/>
      <c r="J121" s="153"/>
      <c r="K121" s="154"/>
      <c r="Y121" s="152"/>
      <c r="AL121" s="152"/>
      <c r="AO121" s="149"/>
      <c r="AP121" s="149"/>
      <c r="AQ121" s="149"/>
      <c r="AR121" s="149"/>
      <c r="AS121" s="149"/>
      <c r="BG121" s="155"/>
      <c r="BH121" s="152"/>
      <c r="EF121" s="152"/>
    </row>
    <row r="122" spans="3:136" ht="13.8" x14ac:dyDescent="0.25">
      <c r="C122" s="150"/>
      <c r="J122" s="153"/>
      <c r="K122" s="154"/>
      <c r="Y122" s="152"/>
      <c r="AL122" s="152"/>
      <c r="AO122" s="149"/>
      <c r="AP122" s="149"/>
      <c r="AQ122" s="149"/>
      <c r="AR122" s="149"/>
      <c r="AS122" s="149"/>
      <c r="BG122" s="155"/>
      <c r="BH122" s="152"/>
      <c r="EF122" s="152"/>
    </row>
    <row r="123" spans="3:136" ht="13.8" x14ac:dyDescent="0.25">
      <c r="C123" s="150"/>
      <c r="J123" s="153"/>
      <c r="K123" s="154"/>
      <c r="Y123" s="152"/>
      <c r="AL123" s="152"/>
      <c r="AO123" s="149"/>
      <c r="AP123" s="149"/>
      <c r="AQ123" s="149"/>
      <c r="AR123" s="149"/>
      <c r="AS123" s="149"/>
      <c r="BG123" s="155"/>
      <c r="BH123" s="152"/>
      <c r="EF123" s="152"/>
    </row>
    <row r="124" spans="3:136" ht="13.8" x14ac:dyDescent="0.25">
      <c r="C124" s="150"/>
      <c r="J124" s="153"/>
      <c r="K124" s="154"/>
      <c r="Y124" s="152"/>
      <c r="AL124" s="152"/>
      <c r="AO124" s="149"/>
      <c r="AP124" s="149"/>
      <c r="AQ124" s="149"/>
      <c r="AR124" s="149"/>
      <c r="AS124" s="149"/>
      <c r="BG124" s="155"/>
      <c r="BH124" s="152"/>
      <c r="EF124" s="152"/>
    </row>
    <row r="125" spans="3:136" ht="13.8" x14ac:dyDescent="0.25">
      <c r="C125" s="150"/>
      <c r="J125" s="153"/>
      <c r="K125" s="154"/>
      <c r="Y125" s="152"/>
      <c r="AL125" s="152"/>
      <c r="AO125" s="149"/>
      <c r="AP125" s="149"/>
      <c r="AQ125" s="149"/>
      <c r="AR125" s="149"/>
      <c r="AS125" s="149"/>
      <c r="BG125" s="155"/>
      <c r="BH125" s="152"/>
      <c r="EF125" s="152"/>
    </row>
    <row r="126" spans="3:136" ht="13.8" x14ac:dyDescent="0.25">
      <c r="C126" s="150"/>
      <c r="J126" s="153"/>
      <c r="K126" s="154"/>
      <c r="Y126" s="152"/>
      <c r="AL126" s="152"/>
      <c r="AO126" s="149"/>
      <c r="AP126" s="149"/>
      <c r="AQ126" s="149"/>
      <c r="AR126" s="149"/>
      <c r="AS126" s="149"/>
      <c r="BG126" s="155"/>
      <c r="BH126" s="152"/>
      <c r="EF126" s="152"/>
    </row>
    <row r="127" spans="3:136" ht="13.8" x14ac:dyDescent="0.25">
      <c r="C127" s="150"/>
      <c r="J127" s="153"/>
      <c r="K127" s="154"/>
      <c r="Y127" s="152"/>
      <c r="AL127" s="152"/>
      <c r="AO127" s="149"/>
      <c r="AP127" s="149"/>
      <c r="AQ127" s="149"/>
      <c r="AR127" s="149"/>
      <c r="AS127" s="149"/>
      <c r="BG127" s="155"/>
      <c r="BH127" s="152"/>
      <c r="EF127" s="152"/>
    </row>
    <row r="128" spans="3:136" ht="13.8" x14ac:dyDescent="0.25">
      <c r="C128" s="150"/>
      <c r="J128" s="153"/>
      <c r="K128" s="154"/>
      <c r="Y128" s="152"/>
      <c r="AL128" s="152"/>
      <c r="AO128" s="149"/>
      <c r="AP128" s="149"/>
      <c r="AQ128" s="149"/>
      <c r="AR128" s="149"/>
      <c r="AS128" s="149"/>
      <c r="BG128" s="155"/>
      <c r="BH128" s="152"/>
      <c r="EF128" s="152"/>
    </row>
    <row r="129" spans="3:136" ht="13.8" x14ac:dyDescent="0.25">
      <c r="C129" s="150"/>
      <c r="J129" s="153"/>
      <c r="K129" s="154"/>
      <c r="Y129" s="152"/>
      <c r="AL129" s="152"/>
      <c r="AO129" s="149"/>
      <c r="AP129" s="149"/>
      <c r="AQ129" s="149"/>
      <c r="AR129" s="149"/>
      <c r="AS129" s="149"/>
      <c r="BG129" s="155"/>
      <c r="BH129" s="152"/>
      <c r="EF129" s="152"/>
    </row>
    <row r="130" spans="3:136" ht="13.8" x14ac:dyDescent="0.25">
      <c r="C130" s="150"/>
      <c r="J130" s="153"/>
      <c r="K130" s="154"/>
      <c r="Y130" s="152"/>
      <c r="AL130" s="152"/>
      <c r="AO130" s="149"/>
      <c r="AP130" s="149"/>
      <c r="AQ130" s="149"/>
      <c r="AR130" s="149"/>
      <c r="AS130" s="149"/>
      <c r="BG130" s="155"/>
      <c r="BH130" s="152"/>
      <c r="EF130" s="152"/>
    </row>
    <row r="131" spans="3:136" ht="13.8" x14ac:dyDescent="0.25">
      <c r="C131" s="150"/>
      <c r="J131" s="153"/>
      <c r="K131" s="154"/>
      <c r="Y131" s="152"/>
      <c r="AL131" s="152"/>
      <c r="AO131" s="149"/>
      <c r="AP131" s="149"/>
      <c r="AQ131" s="149"/>
      <c r="AR131" s="149"/>
      <c r="AS131" s="149"/>
      <c r="BG131" s="155"/>
      <c r="BH131" s="152"/>
      <c r="EF131" s="152"/>
    </row>
    <row r="132" spans="3:136" ht="13.8" x14ac:dyDescent="0.25">
      <c r="C132" s="150"/>
      <c r="J132" s="153"/>
      <c r="K132" s="154"/>
      <c r="Y132" s="152"/>
      <c r="AL132" s="152"/>
      <c r="AO132" s="149"/>
      <c r="AP132" s="149"/>
      <c r="AQ132" s="149"/>
      <c r="AR132" s="149"/>
      <c r="AS132" s="149"/>
      <c r="BG132" s="155"/>
      <c r="BH132" s="152"/>
      <c r="EF132" s="152"/>
    </row>
    <row r="133" spans="3:136" ht="13.8" x14ac:dyDescent="0.25">
      <c r="C133" s="150"/>
      <c r="J133" s="153"/>
      <c r="K133" s="154"/>
      <c r="Y133" s="152"/>
      <c r="AL133" s="152"/>
      <c r="AO133" s="149"/>
      <c r="AP133" s="149"/>
      <c r="AQ133" s="149"/>
      <c r="AR133" s="149"/>
      <c r="AS133" s="149"/>
      <c r="BG133" s="155"/>
      <c r="BH133" s="152"/>
      <c r="EF133" s="152"/>
    </row>
    <row r="134" spans="3:136" ht="13.8" x14ac:dyDescent="0.25">
      <c r="C134" s="150"/>
      <c r="J134" s="153"/>
      <c r="K134" s="154"/>
      <c r="Y134" s="152"/>
      <c r="AL134" s="152"/>
      <c r="AO134" s="149"/>
      <c r="AP134" s="149"/>
      <c r="AQ134" s="149"/>
      <c r="AR134" s="149"/>
      <c r="AS134" s="149"/>
      <c r="BG134" s="155"/>
      <c r="BH134" s="152"/>
      <c r="EF134" s="152"/>
    </row>
    <row r="135" spans="3:136" ht="13.8" x14ac:dyDescent="0.25">
      <c r="C135" s="150"/>
      <c r="J135" s="153"/>
      <c r="K135" s="154"/>
      <c r="Y135" s="152"/>
      <c r="AL135" s="152"/>
      <c r="AO135" s="149"/>
      <c r="AP135" s="149"/>
      <c r="AQ135" s="149"/>
      <c r="AR135" s="149"/>
      <c r="AS135" s="149"/>
      <c r="BG135" s="155"/>
      <c r="BH135" s="152"/>
      <c r="EF135" s="152"/>
    </row>
    <row r="136" spans="3:136" ht="13.8" x14ac:dyDescent="0.25">
      <c r="C136" s="150"/>
      <c r="J136" s="153"/>
      <c r="K136" s="154"/>
      <c r="Y136" s="152"/>
      <c r="AL136" s="152"/>
      <c r="AO136" s="149"/>
      <c r="AP136" s="149"/>
      <c r="AQ136" s="149"/>
      <c r="AR136" s="149"/>
      <c r="AS136" s="149"/>
      <c r="BG136" s="155"/>
      <c r="BH136" s="152"/>
      <c r="EF136" s="152"/>
    </row>
    <row r="137" spans="3:136" ht="13.8" x14ac:dyDescent="0.25">
      <c r="C137" s="150"/>
      <c r="J137" s="153"/>
      <c r="K137" s="154"/>
      <c r="Y137" s="152"/>
      <c r="AL137" s="152"/>
      <c r="AO137" s="149"/>
      <c r="AP137" s="149"/>
      <c r="AQ137" s="149"/>
      <c r="AR137" s="149"/>
      <c r="AS137" s="149"/>
      <c r="BG137" s="155"/>
      <c r="BH137" s="152"/>
      <c r="EF137" s="152"/>
    </row>
    <row r="138" spans="3:136" ht="13.8" x14ac:dyDescent="0.25">
      <c r="C138" s="150"/>
      <c r="J138" s="153"/>
      <c r="K138" s="154"/>
      <c r="Y138" s="152"/>
      <c r="AL138" s="152"/>
      <c r="AO138" s="149"/>
      <c r="AP138" s="149"/>
      <c r="AQ138" s="149"/>
      <c r="AR138" s="149"/>
      <c r="AS138" s="149"/>
      <c r="BG138" s="155"/>
      <c r="BH138" s="152"/>
      <c r="EF138" s="152"/>
    </row>
    <row r="139" spans="3:136" ht="13.8" x14ac:dyDescent="0.25">
      <c r="C139" s="150"/>
      <c r="J139" s="153"/>
      <c r="K139" s="154"/>
      <c r="Y139" s="152"/>
      <c r="AL139" s="152"/>
      <c r="AO139" s="149"/>
      <c r="AP139" s="149"/>
      <c r="AQ139" s="149"/>
      <c r="AR139" s="149"/>
      <c r="AS139" s="149"/>
      <c r="BG139" s="155"/>
      <c r="BH139" s="152"/>
      <c r="EF139" s="152"/>
    </row>
    <row r="140" spans="3:136" ht="13.8" x14ac:dyDescent="0.25">
      <c r="C140" s="150"/>
      <c r="J140" s="153"/>
      <c r="K140" s="154"/>
      <c r="Y140" s="152"/>
      <c r="AL140" s="152"/>
      <c r="AO140" s="149"/>
      <c r="AP140" s="149"/>
      <c r="AQ140" s="149"/>
      <c r="AR140" s="149"/>
      <c r="AS140" s="149"/>
      <c r="BG140" s="155"/>
      <c r="BH140" s="152"/>
      <c r="EF140" s="152"/>
    </row>
    <row r="141" spans="3:136" ht="13.8" x14ac:dyDescent="0.25">
      <c r="C141" s="150"/>
      <c r="J141" s="153"/>
      <c r="K141" s="154"/>
      <c r="Y141" s="152"/>
      <c r="AL141" s="152"/>
      <c r="AO141" s="149"/>
      <c r="AP141" s="149"/>
      <c r="AQ141" s="149"/>
      <c r="AR141" s="149"/>
      <c r="AS141" s="149"/>
      <c r="BG141" s="155"/>
      <c r="BH141" s="152"/>
      <c r="EF141" s="152"/>
    </row>
    <row r="142" spans="3:136" ht="13.8" x14ac:dyDescent="0.25">
      <c r="C142" s="150"/>
      <c r="J142" s="153"/>
      <c r="K142" s="154"/>
      <c r="Y142" s="152"/>
      <c r="AL142" s="152"/>
      <c r="AO142" s="149"/>
      <c r="AP142" s="149"/>
      <c r="AQ142" s="149"/>
      <c r="AR142" s="149"/>
      <c r="AS142" s="149"/>
      <c r="BG142" s="155"/>
      <c r="BH142" s="152"/>
      <c r="EF142" s="152"/>
    </row>
    <row r="143" spans="3:136" ht="13.8" x14ac:dyDescent="0.25">
      <c r="C143" s="150"/>
      <c r="J143" s="153"/>
      <c r="K143" s="154"/>
      <c r="Y143" s="152"/>
      <c r="AL143" s="152"/>
      <c r="AO143" s="149"/>
      <c r="AP143" s="149"/>
      <c r="AQ143" s="149"/>
      <c r="AR143" s="149"/>
      <c r="AS143" s="149"/>
      <c r="BG143" s="155"/>
      <c r="BH143" s="152"/>
      <c r="EF143" s="152"/>
    </row>
    <row r="144" spans="3:136" ht="13.8" x14ac:dyDescent="0.25">
      <c r="C144" s="150"/>
      <c r="J144" s="153"/>
      <c r="K144" s="154"/>
      <c r="Y144" s="152"/>
      <c r="AL144" s="152"/>
      <c r="AO144" s="149"/>
      <c r="AP144" s="149"/>
      <c r="AQ144" s="149"/>
      <c r="AR144" s="149"/>
      <c r="AS144" s="149"/>
      <c r="BG144" s="155"/>
      <c r="BH144" s="152"/>
      <c r="EF144" s="152"/>
    </row>
    <row r="145" spans="3:136" ht="13.8" x14ac:dyDescent="0.25">
      <c r="C145" s="150"/>
      <c r="J145" s="153"/>
      <c r="K145" s="154"/>
      <c r="Y145" s="152"/>
      <c r="AL145" s="152"/>
      <c r="AO145" s="149"/>
      <c r="AP145" s="149"/>
      <c r="AQ145" s="149"/>
      <c r="AR145" s="149"/>
      <c r="AS145" s="149"/>
      <c r="BG145" s="155"/>
      <c r="BH145" s="152"/>
      <c r="EF145" s="152"/>
    </row>
    <row r="146" spans="3:136" ht="13.8" x14ac:dyDescent="0.25">
      <c r="C146" s="150"/>
      <c r="J146" s="153"/>
      <c r="K146" s="154"/>
      <c r="Y146" s="152"/>
      <c r="AL146" s="152"/>
      <c r="AO146" s="149"/>
      <c r="AP146" s="149"/>
      <c r="AQ146" s="149"/>
      <c r="AR146" s="149"/>
      <c r="AS146" s="149"/>
      <c r="BG146" s="155"/>
      <c r="BH146" s="152"/>
      <c r="EF146" s="152"/>
    </row>
    <row r="147" spans="3:136" ht="13.8" x14ac:dyDescent="0.25">
      <c r="C147" s="150"/>
      <c r="J147" s="153"/>
      <c r="K147" s="154"/>
      <c r="Y147" s="152"/>
      <c r="AL147" s="152"/>
      <c r="AO147" s="149"/>
      <c r="AP147" s="149"/>
      <c r="AQ147" s="149"/>
      <c r="AR147" s="149"/>
      <c r="AS147" s="149"/>
      <c r="BG147" s="155"/>
      <c r="BH147" s="152"/>
      <c r="EF147" s="152"/>
    </row>
    <row r="148" spans="3:136" ht="13.8" x14ac:dyDescent="0.25">
      <c r="C148" s="150"/>
      <c r="J148" s="153"/>
      <c r="K148" s="154"/>
      <c r="Y148" s="152"/>
      <c r="AL148" s="152"/>
      <c r="AO148" s="149"/>
      <c r="AP148" s="149"/>
      <c r="AQ148" s="149"/>
      <c r="AR148" s="149"/>
      <c r="AS148" s="149"/>
      <c r="BG148" s="155"/>
      <c r="BH148" s="152"/>
      <c r="EF148" s="152"/>
    </row>
    <row r="149" spans="3:136" ht="13.8" x14ac:dyDescent="0.25">
      <c r="C149" s="150"/>
      <c r="J149" s="153"/>
      <c r="K149" s="154"/>
      <c r="Y149" s="152"/>
      <c r="AL149" s="152"/>
      <c r="AO149" s="149"/>
      <c r="AP149" s="149"/>
      <c r="AQ149" s="149"/>
      <c r="AR149" s="149"/>
      <c r="AS149" s="149"/>
      <c r="BG149" s="155"/>
      <c r="BH149" s="152"/>
      <c r="EF149" s="152"/>
    </row>
    <row r="150" spans="3:136" ht="13.8" x14ac:dyDescent="0.25">
      <c r="C150" s="150"/>
      <c r="J150" s="153"/>
      <c r="K150" s="154"/>
      <c r="Y150" s="152"/>
      <c r="AL150" s="152"/>
      <c r="AO150" s="149"/>
      <c r="AP150" s="149"/>
      <c r="AQ150" s="149"/>
      <c r="AR150" s="149"/>
      <c r="AS150" s="149"/>
      <c r="BG150" s="155"/>
      <c r="BH150" s="152"/>
      <c r="EF150" s="152"/>
    </row>
    <row r="151" spans="3:136" ht="13.8" x14ac:dyDescent="0.25">
      <c r="C151" s="150"/>
      <c r="J151" s="153"/>
      <c r="K151" s="154"/>
      <c r="Y151" s="152"/>
      <c r="AL151" s="152"/>
      <c r="AO151" s="149"/>
      <c r="AP151" s="149"/>
      <c r="AQ151" s="149"/>
      <c r="AR151" s="149"/>
      <c r="AS151" s="149"/>
      <c r="BG151" s="155"/>
      <c r="BH151" s="152"/>
      <c r="EF151" s="152"/>
    </row>
    <row r="152" spans="3:136" ht="13.8" x14ac:dyDescent="0.25">
      <c r="C152" s="150"/>
      <c r="J152" s="153"/>
      <c r="K152" s="154"/>
      <c r="Y152" s="152"/>
      <c r="AL152" s="152"/>
      <c r="AO152" s="149"/>
      <c r="AP152" s="149"/>
      <c r="AQ152" s="149"/>
      <c r="AR152" s="149"/>
      <c r="AS152" s="149"/>
      <c r="BG152" s="155"/>
      <c r="BH152" s="152"/>
      <c r="EF152" s="152"/>
    </row>
    <row r="153" spans="3:136" ht="13.8" x14ac:dyDescent="0.25">
      <c r="C153" s="150"/>
      <c r="J153" s="153"/>
      <c r="K153" s="154"/>
      <c r="Y153" s="152"/>
      <c r="AL153" s="152"/>
      <c r="AO153" s="149"/>
      <c r="AP153" s="149"/>
      <c r="AQ153" s="149"/>
      <c r="AR153" s="149"/>
      <c r="AS153" s="149"/>
      <c r="BG153" s="155"/>
      <c r="BH153" s="152"/>
      <c r="EF153" s="152"/>
    </row>
    <row r="154" spans="3:136" ht="13.8" x14ac:dyDescent="0.25">
      <c r="C154" s="150"/>
      <c r="J154" s="153"/>
      <c r="K154" s="154"/>
      <c r="Y154" s="152"/>
      <c r="AL154" s="152"/>
      <c r="AO154" s="149"/>
      <c r="AP154" s="149"/>
      <c r="AQ154" s="149"/>
      <c r="AR154" s="149"/>
      <c r="AS154" s="149"/>
      <c r="BG154" s="155"/>
      <c r="BH154" s="152"/>
      <c r="EF154" s="152"/>
    </row>
    <row r="155" spans="3:136" ht="13.8" x14ac:dyDescent="0.25">
      <c r="C155" s="150"/>
      <c r="J155" s="153"/>
      <c r="K155" s="154"/>
      <c r="Y155" s="152"/>
      <c r="AL155" s="152"/>
      <c r="AO155" s="149"/>
      <c r="AP155" s="149"/>
      <c r="AQ155" s="149"/>
      <c r="AR155" s="149"/>
      <c r="AS155" s="149"/>
      <c r="BG155" s="155"/>
      <c r="BH155" s="152"/>
      <c r="EF155" s="152"/>
    </row>
    <row r="156" spans="3:136" ht="13.8" x14ac:dyDescent="0.25">
      <c r="C156" s="150"/>
      <c r="J156" s="153"/>
      <c r="K156" s="154"/>
      <c r="Y156" s="152"/>
      <c r="AL156" s="152"/>
      <c r="AO156" s="149"/>
      <c r="AP156" s="149"/>
      <c r="AQ156" s="149"/>
      <c r="AR156" s="149"/>
      <c r="AS156" s="149"/>
      <c r="BG156" s="155"/>
      <c r="BH156" s="152"/>
      <c r="EF156" s="152"/>
    </row>
    <row r="157" spans="3:136" ht="13.8" x14ac:dyDescent="0.25">
      <c r="C157" s="150"/>
      <c r="J157" s="153"/>
      <c r="K157" s="154"/>
      <c r="Y157" s="152"/>
      <c r="AL157" s="152"/>
      <c r="AO157" s="149"/>
      <c r="AP157" s="149"/>
      <c r="AQ157" s="149"/>
      <c r="AR157" s="149"/>
      <c r="AS157" s="149"/>
      <c r="BG157" s="155"/>
      <c r="BH157" s="152"/>
      <c r="EF157" s="152"/>
    </row>
    <row r="158" spans="3:136" ht="13.8" x14ac:dyDescent="0.25">
      <c r="C158" s="150"/>
      <c r="J158" s="153"/>
      <c r="K158" s="154"/>
      <c r="Y158" s="152"/>
      <c r="AL158" s="152"/>
      <c r="AO158" s="149"/>
      <c r="AP158" s="149"/>
      <c r="AQ158" s="149"/>
      <c r="AR158" s="149"/>
      <c r="AS158" s="149"/>
      <c r="BG158" s="155"/>
      <c r="BH158" s="152"/>
      <c r="EF158" s="152"/>
    </row>
    <row r="159" spans="3:136" ht="13.8" x14ac:dyDescent="0.25">
      <c r="C159" s="150"/>
      <c r="J159" s="153"/>
      <c r="K159" s="154"/>
      <c r="Y159" s="152"/>
      <c r="AL159" s="152"/>
      <c r="AO159" s="149"/>
      <c r="AP159" s="149"/>
      <c r="AQ159" s="149"/>
      <c r="AR159" s="149"/>
      <c r="AS159" s="149"/>
      <c r="BG159" s="155"/>
      <c r="BH159" s="152"/>
      <c r="EF159" s="152"/>
    </row>
    <row r="160" spans="3:136" ht="13.8" x14ac:dyDescent="0.25">
      <c r="C160" s="150"/>
      <c r="J160" s="153"/>
      <c r="K160" s="154"/>
      <c r="Y160" s="152"/>
      <c r="AL160" s="152"/>
      <c r="AO160" s="149"/>
      <c r="AP160" s="149"/>
      <c r="AQ160" s="149"/>
      <c r="AR160" s="149"/>
      <c r="AS160" s="149"/>
      <c r="BG160" s="155"/>
      <c r="BH160" s="152"/>
      <c r="EF160" s="152"/>
    </row>
    <row r="161" spans="3:136" ht="13.8" x14ac:dyDescent="0.25">
      <c r="C161" s="150"/>
      <c r="J161" s="153"/>
      <c r="K161" s="154"/>
      <c r="Y161" s="152"/>
      <c r="AL161" s="152"/>
      <c r="AO161" s="149"/>
      <c r="AP161" s="149"/>
      <c r="AQ161" s="149"/>
      <c r="AR161" s="149"/>
      <c r="AS161" s="149"/>
      <c r="BG161" s="155"/>
      <c r="BH161" s="152"/>
      <c r="EF161" s="152"/>
    </row>
    <row r="162" spans="3:136" ht="13.8" x14ac:dyDescent="0.25">
      <c r="C162" s="150"/>
      <c r="J162" s="153"/>
      <c r="K162" s="154"/>
      <c r="Y162" s="152"/>
      <c r="AL162" s="152"/>
      <c r="AO162" s="149"/>
      <c r="AP162" s="149"/>
      <c r="AQ162" s="149"/>
      <c r="AR162" s="149"/>
      <c r="AS162" s="149"/>
      <c r="BG162" s="155"/>
      <c r="BH162" s="152"/>
      <c r="EF162" s="152"/>
    </row>
    <row r="163" spans="3:136" ht="13.8" x14ac:dyDescent="0.25">
      <c r="C163" s="150"/>
      <c r="J163" s="153"/>
      <c r="K163" s="154"/>
      <c r="Y163" s="152"/>
      <c r="AL163" s="152"/>
      <c r="AO163" s="149"/>
      <c r="AP163" s="149"/>
      <c r="AQ163" s="149"/>
      <c r="AR163" s="149"/>
      <c r="AS163" s="149"/>
      <c r="BG163" s="155"/>
      <c r="BH163" s="152"/>
      <c r="EF163" s="152"/>
    </row>
    <row r="164" spans="3:136" ht="13.8" x14ac:dyDescent="0.25">
      <c r="C164" s="150"/>
      <c r="J164" s="153"/>
      <c r="K164" s="154"/>
      <c r="Y164" s="152"/>
      <c r="AL164" s="152"/>
      <c r="AO164" s="149"/>
      <c r="AP164" s="149"/>
      <c r="AQ164" s="149"/>
      <c r="AR164" s="149"/>
      <c r="AS164" s="149"/>
      <c r="BG164" s="155"/>
      <c r="BH164" s="152"/>
      <c r="EF164" s="152"/>
    </row>
    <row r="165" spans="3:136" ht="13.8" x14ac:dyDescent="0.25">
      <c r="C165" s="150"/>
      <c r="J165" s="153"/>
      <c r="K165" s="154"/>
      <c r="Y165" s="152"/>
      <c r="AL165" s="152"/>
      <c r="AO165" s="149"/>
      <c r="AP165" s="149"/>
      <c r="AQ165" s="149"/>
      <c r="AR165" s="149"/>
      <c r="AS165" s="149"/>
      <c r="BG165" s="155"/>
      <c r="BH165" s="152"/>
      <c r="EF165" s="152"/>
    </row>
    <row r="166" spans="3:136" ht="13.8" x14ac:dyDescent="0.25">
      <c r="C166" s="150"/>
      <c r="J166" s="153"/>
      <c r="K166" s="154"/>
      <c r="Y166" s="152"/>
      <c r="AL166" s="152"/>
      <c r="AO166" s="149"/>
      <c r="AP166" s="149"/>
      <c r="AQ166" s="149"/>
      <c r="AR166" s="149"/>
      <c r="AS166" s="149"/>
      <c r="BG166" s="155"/>
      <c r="BH166" s="152"/>
      <c r="EF166" s="152"/>
    </row>
    <row r="167" spans="3:136" ht="13.8" x14ac:dyDescent="0.25">
      <c r="C167" s="150"/>
      <c r="J167" s="153"/>
      <c r="K167" s="154"/>
      <c r="Y167" s="152"/>
      <c r="AL167" s="152"/>
      <c r="AO167" s="149"/>
      <c r="AP167" s="149"/>
      <c r="AQ167" s="149"/>
      <c r="AR167" s="149"/>
      <c r="AS167" s="149"/>
      <c r="BG167" s="155"/>
      <c r="BH167" s="152"/>
      <c r="EF167" s="152"/>
    </row>
    <row r="168" spans="3:136" ht="13.8" x14ac:dyDescent="0.25">
      <c r="C168" s="150"/>
      <c r="J168" s="153"/>
      <c r="K168" s="154"/>
      <c r="Y168" s="152"/>
      <c r="AL168" s="152"/>
      <c r="AO168" s="149"/>
      <c r="AP168" s="149"/>
      <c r="AQ168" s="149"/>
      <c r="AR168" s="149"/>
      <c r="AS168" s="149"/>
      <c r="BG168" s="155"/>
      <c r="BH168" s="152"/>
      <c r="EF168" s="152"/>
    </row>
    <row r="169" spans="3:136" ht="13.8" x14ac:dyDescent="0.25">
      <c r="C169" s="150"/>
      <c r="J169" s="153"/>
      <c r="K169" s="154"/>
      <c r="Y169" s="152"/>
      <c r="AL169" s="152"/>
      <c r="AO169" s="149"/>
      <c r="AP169" s="149"/>
      <c r="AQ169" s="149"/>
      <c r="AR169" s="149"/>
      <c r="AS169" s="149"/>
      <c r="BG169" s="155"/>
      <c r="BH169" s="152"/>
      <c r="EF169" s="152"/>
    </row>
    <row r="170" spans="3:136" ht="13.8" x14ac:dyDescent="0.25">
      <c r="C170" s="150"/>
      <c r="J170" s="153"/>
      <c r="K170" s="154"/>
      <c r="Y170" s="152"/>
      <c r="AL170" s="152"/>
      <c r="AO170" s="149"/>
      <c r="AP170" s="149"/>
      <c r="AQ170" s="149"/>
      <c r="AR170" s="149"/>
      <c r="AS170" s="149"/>
      <c r="BG170" s="155"/>
      <c r="BH170" s="152"/>
      <c r="EF170" s="152"/>
    </row>
    <row r="171" spans="3:136" ht="13.8" x14ac:dyDescent="0.25">
      <c r="C171" s="150"/>
      <c r="J171" s="153"/>
      <c r="K171" s="154"/>
      <c r="Y171" s="152"/>
      <c r="AL171" s="152"/>
      <c r="AO171" s="149"/>
      <c r="AP171" s="149"/>
      <c r="AQ171" s="149"/>
      <c r="AR171" s="149"/>
      <c r="AS171" s="149"/>
      <c r="BG171" s="155"/>
      <c r="BH171" s="152"/>
      <c r="EF171" s="152"/>
    </row>
    <row r="172" spans="3:136" ht="13.8" x14ac:dyDescent="0.25">
      <c r="C172" s="150"/>
      <c r="J172" s="153"/>
      <c r="K172" s="154"/>
      <c r="Y172" s="152"/>
      <c r="AL172" s="152"/>
      <c r="AO172" s="149"/>
      <c r="AP172" s="149"/>
      <c r="AQ172" s="149"/>
      <c r="AR172" s="149"/>
      <c r="AS172" s="149"/>
      <c r="BG172" s="155"/>
      <c r="BH172" s="152"/>
      <c r="EF172" s="152"/>
    </row>
    <row r="173" spans="3:136" ht="13.8" x14ac:dyDescent="0.25">
      <c r="C173" s="150"/>
      <c r="J173" s="153"/>
      <c r="K173" s="154"/>
      <c r="Y173" s="152"/>
      <c r="AL173" s="152"/>
      <c r="AO173" s="149"/>
      <c r="AP173" s="149"/>
      <c r="AQ173" s="149"/>
      <c r="AR173" s="149"/>
      <c r="AS173" s="149"/>
      <c r="BG173" s="155"/>
      <c r="BH173" s="152"/>
      <c r="EF173" s="152"/>
    </row>
    <row r="174" spans="3:136" ht="13.8" x14ac:dyDescent="0.25">
      <c r="C174" s="150"/>
      <c r="J174" s="153"/>
      <c r="K174" s="154"/>
      <c r="Y174" s="152"/>
      <c r="AL174" s="152"/>
      <c r="AO174" s="149"/>
      <c r="AP174" s="149"/>
      <c r="AQ174" s="149"/>
      <c r="AR174" s="149"/>
      <c r="AS174" s="149"/>
      <c r="BG174" s="155"/>
      <c r="BH174" s="152"/>
      <c r="EF174" s="152"/>
    </row>
    <row r="175" spans="3:136" ht="13.8" x14ac:dyDescent="0.25">
      <c r="C175" s="150"/>
      <c r="J175" s="153"/>
      <c r="K175" s="154"/>
      <c r="Y175" s="152"/>
      <c r="AL175" s="152"/>
      <c r="AO175" s="149"/>
      <c r="AP175" s="149"/>
      <c r="AQ175" s="149"/>
      <c r="AR175" s="149"/>
      <c r="AS175" s="149"/>
      <c r="BG175" s="155"/>
      <c r="BH175" s="152"/>
      <c r="EF175" s="152"/>
    </row>
    <row r="176" spans="3:136" ht="13.8" x14ac:dyDescent="0.25">
      <c r="C176" s="150"/>
      <c r="J176" s="153"/>
      <c r="K176" s="154"/>
      <c r="Y176" s="152"/>
      <c r="AL176" s="152"/>
      <c r="AO176" s="149"/>
      <c r="AP176" s="149"/>
      <c r="AQ176" s="149"/>
      <c r="AR176" s="149"/>
      <c r="AS176" s="149"/>
      <c r="BG176" s="155"/>
      <c r="BH176" s="152"/>
      <c r="EF176" s="152"/>
    </row>
    <row r="177" spans="3:136" ht="13.8" x14ac:dyDescent="0.25">
      <c r="C177" s="150"/>
      <c r="J177" s="153"/>
      <c r="K177" s="154"/>
      <c r="Y177" s="152"/>
      <c r="AL177" s="152"/>
      <c r="AO177" s="149"/>
      <c r="AP177" s="149"/>
      <c r="AQ177" s="149"/>
      <c r="AR177" s="149"/>
      <c r="AS177" s="149"/>
      <c r="BG177" s="155"/>
      <c r="BH177" s="152"/>
      <c r="EF177" s="152"/>
    </row>
    <row r="178" spans="3:136" ht="13.8" x14ac:dyDescent="0.25">
      <c r="C178" s="150"/>
      <c r="J178" s="153"/>
      <c r="K178" s="154"/>
      <c r="Y178" s="152"/>
      <c r="AL178" s="152"/>
      <c r="AO178" s="149"/>
      <c r="AP178" s="149"/>
      <c r="AQ178" s="149"/>
      <c r="AR178" s="149"/>
      <c r="AS178" s="149"/>
      <c r="BG178" s="155"/>
      <c r="BH178" s="152"/>
      <c r="EF178" s="152"/>
    </row>
    <row r="179" spans="3:136" ht="13.8" x14ac:dyDescent="0.25">
      <c r="C179" s="150"/>
      <c r="J179" s="153"/>
      <c r="K179" s="154"/>
      <c r="Y179" s="152"/>
      <c r="AL179" s="152"/>
      <c r="AO179" s="149"/>
      <c r="AP179" s="149"/>
      <c r="AQ179" s="149"/>
      <c r="AR179" s="149"/>
      <c r="AS179" s="149"/>
      <c r="BG179" s="155"/>
      <c r="BH179" s="152"/>
      <c r="EF179" s="152"/>
    </row>
    <row r="180" spans="3:136" ht="13.8" x14ac:dyDescent="0.25">
      <c r="C180" s="150"/>
      <c r="J180" s="153"/>
      <c r="K180" s="154"/>
      <c r="Y180" s="152"/>
      <c r="AL180" s="152"/>
      <c r="AO180" s="149"/>
      <c r="AP180" s="149"/>
      <c r="AQ180" s="149"/>
      <c r="AR180" s="149"/>
      <c r="AS180" s="149"/>
      <c r="BG180" s="155"/>
      <c r="BH180" s="152"/>
      <c r="EF180" s="152"/>
    </row>
    <row r="181" spans="3:136" ht="13.8" x14ac:dyDescent="0.25">
      <c r="C181" s="150"/>
      <c r="J181" s="153"/>
      <c r="K181" s="154"/>
      <c r="Y181" s="152"/>
      <c r="AL181" s="152"/>
      <c r="AO181" s="149"/>
      <c r="AP181" s="149"/>
      <c r="AQ181" s="149"/>
      <c r="AR181" s="149"/>
      <c r="AS181" s="149"/>
      <c r="BG181" s="155"/>
      <c r="BH181" s="152"/>
      <c r="EF181" s="152"/>
    </row>
    <row r="182" spans="3:136" ht="13.8" x14ac:dyDescent="0.25">
      <c r="C182" s="150"/>
      <c r="J182" s="153"/>
      <c r="K182" s="154"/>
      <c r="Y182" s="152"/>
      <c r="AL182" s="152"/>
      <c r="AO182" s="149"/>
      <c r="AP182" s="149"/>
      <c r="AQ182" s="149"/>
      <c r="AR182" s="149"/>
      <c r="AS182" s="149"/>
      <c r="BG182" s="155"/>
      <c r="BH182" s="152"/>
      <c r="EF182" s="152"/>
    </row>
    <row r="183" spans="3:136" ht="13.8" x14ac:dyDescent="0.25">
      <c r="C183" s="150"/>
      <c r="J183" s="153"/>
      <c r="K183" s="154"/>
      <c r="Y183" s="152"/>
      <c r="AL183" s="152"/>
      <c r="AO183" s="149"/>
      <c r="AP183" s="149"/>
      <c r="AQ183" s="149"/>
      <c r="AR183" s="149"/>
      <c r="AS183" s="149"/>
      <c r="BG183" s="155"/>
      <c r="BH183" s="152"/>
      <c r="EF183" s="152"/>
    </row>
    <row r="184" spans="3:136" ht="13.8" x14ac:dyDescent="0.25">
      <c r="C184" s="150"/>
      <c r="J184" s="153"/>
      <c r="K184" s="154"/>
      <c r="Y184" s="152"/>
      <c r="AL184" s="152"/>
      <c r="AO184" s="149"/>
      <c r="AP184" s="149"/>
      <c r="AQ184" s="149"/>
      <c r="AR184" s="149"/>
      <c r="AS184" s="149"/>
      <c r="BG184" s="155"/>
      <c r="BH184" s="152"/>
      <c r="EF184" s="152"/>
    </row>
    <row r="185" spans="3:136" ht="13.8" x14ac:dyDescent="0.25">
      <c r="C185" s="150"/>
      <c r="J185" s="153"/>
      <c r="K185" s="154"/>
      <c r="Y185" s="152"/>
      <c r="AL185" s="152"/>
      <c r="AO185" s="149"/>
      <c r="AP185" s="149"/>
      <c r="AQ185" s="149"/>
      <c r="AR185" s="149"/>
      <c r="AS185" s="149"/>
      <c r="BG185" s="155"/>
      <c r="BH185" s="152"/>
      <c r="EF185" s="152"/>
    </row>
    <row r="186" spans="3:136" ht="13.8" x14ac:dyDescent="0.25">
      <c r="C186" s="150"/>
      <c r="J186" s="153"/>
      <c r="K186" s="154"/>
      <c r="Y186" s="152"/>
      <c r="AL186" s="152"/>
      <c r="AO186" s="149"/>
      <c r="AP186" s="149"/>
      <c r="AQ186" s="149"/>
      <c r="AR186" s="149"/>
      <c r="AS186" s="149"/>
      <c r="BG186" s="155"/>
      <c r="BH186" s="152"/>
      <c r="EF186" s="152"/>
    </row>
    <row r="187" spans="3:136" ht="13.8" x14ac:dyDescent="0.25">
      <c r="C187" s="150"/>
      <c r="J187" s="153"/>
      <c r="K187" s="154"/>
      <c r="Y187" s="152"/>
      <c r="AL187" s="152"/>
      <c r="AO187" s="149"/>
      <c r="AP187" s="149"/>
      <c r="AQ187" s="149"/>
      <c r="AR187" s="149"/>
      <c r="AS187" s="149"/>
      <c r="BG187" s="155"/>
      <c r="BH187" s="152"/>
      <c r="EF187" s="152"/>
    </row>
    <row r="188" spans="3:136" ht="13.8" x14ac:dyDescent="0.25">
      <c r="C188" s="150"/>
      <c r="J188" s="153"/>
      <c r="K188" s="154"/>
      <c r="Y188" s="152"/>
      <c r="AL188" s="152"/>
      <c r="AO188" s="149"/>
      <c r="AP188" s="149"/>
      <c r="AQ188" s="149"/>
      <c r="AR188" s="149"/>
      <c r="AS188" s="149"/>
      <c r="BG188" s="155"/>
      <c r="BH188" s="152"/>
      <c r="EF188" s="152"/>
    </row>
    <row r="189" spans="3:136" ht="13.8" x14ac:dyDescent="0.25">
      <c r="C189" s="150"/>
      <c r="J189" s="153"/>
      <c r="K189" s="154"/>
      <c r="Y189" s="152"/>
      <c r="AL189" s="152"/>
      <c r="AO189" s="149"/>
      <c r="AP189" s="149"/>
      <c r="AQ189" s="149"/>
      <c r="AR189" s="149"/>
      <c r="AS189" s="149"/>
      <c r="BG189" s="155"/>
      <c r="BH189" s="152"/>
      <c r="EF189" s="152"/>
    </row>
    <row r="190" spans="3:136" ht="13.8" x14ac:dyDescent="0.25">
      <c r="C190" s="150"/>
      <c r="J190" s="153"/>
      <c r="K190" s="154"/>
      <c r="Y190" s="152"/>
      <c r="AL190" s="152"/>
      <c r="AO190" s="149"/>
      <c r="AP190" s="149"/>
      <c r="AQ190" s="149"/>
      <c r="AR190" s="149"/>
      <c r="AS190" s="149"/>
      <c r="BG190" s="155"/>
      <c r="BH190" s="152"/>
      <c r="EF190" s="152"/>
    </row>
    <row r="191" spans="3:136" ht="13.8" x14ac:dyDescent="0.25">
      <c r="C191" s="150"/>
      <c r="J191" s="153"/>
      <c r="K191" s="154"/>
      <c r="Y191" s="152"/>
      <c r="AL191" s="152"/>
      <c r="AO191" s="149"/>
      <c r="AP191" s="149"/>
      <c r="AQ191" s="149"/>
      <c r="AR191" s="149"/>
      <c r="AS191" s="149"/>
      <c r="BG191" s="155"/>
      <c r="BH191" s="152"/>
      <c r="EF191" s="152"/>
    </row>
    <row r="192" spans="3:136" ht="13.8" x14ac:dyDescent="0.25">
      <c r="C192" s="150"/>
      <c r="J192" s="153"/>
      <c r="K192" s="154"/>
      <c r="Y192" s="152"/>
      <c r="AL192" s="152"/>
      <c r="AO192" s="149"/>
      <c r="AP192" s="149"/>
      <c r="AQ192" s="149"/>
      <c r="AR192" s="149"/>
      <c r="AS192" s="149"/>
      <c r="BG192" s="155"/>
      <c r="BH192" s="152"/>
      <c r="EF192" s="152"/>
    </row>
    <row r="193" spans="3:136" ht="13.8" x14ac:dyDescent="0.25">
      <c r="C193" s="150"/>
      <c r="J193" s="153"/>
      <c r="K193" s="154"/>
      <c r="Y193" s="152"/>
      <c r="AL193" s="152"/>
      <c r="AO193" s="149"/>
      <c r="AP193" s="149"/>
      <c r="AQ193" s="149"/>
      <c r="AR193" s="149"/>
      <c r="AS193" s="149"/>
      <c r="BG193" s="155"/>
      <c r="BH193" s="152"/>
      <c r="EF193" s="152"/>
    </row>
    <row r="194" spans="3:136" ht="13.8" x14ac:dyDescent="0.25">
      <c r="C194" s="150"/>
      <c r="J194" s="153"/>
      <c r="K194" s="154"/>
      <c r="Y194" s="152"/>
      <c r="AL194" s="152"/>
      <c r="AO194" s="149"/>
      <c r="AP194" s="149"/>
      <c r="AQ194" s="149"/>
      <c r="AR194" s="149"/>
      <c r="AS194" s="149"/>
      <c r="BG194" s="155"/>
      <c r="BH194" s="152"/>
      <c r="EF194" s="152"/>
    </row>
    <row r="195" spans="3:136" ht="13.8" x14ac:dyDescent="0.25">
      <c r="C195" s="150"/>
      <c r="J195" s="153"/>
      <c r="K195" s="154"/>
      <c r="Y195" s="152"/>
      <c r="AL195" s="152"/>
      <c r="AO195" s="149"/>
      <c r="AP195" s="149"/>
      <c r="AQ195" s="149"/>
      <c r="AR195" s="149"/>
      <c r="AS195" s="149"/>
      <c r="BG195" s="155"/>
      <c r="BH195" s="152"/>
      <c r="EF195" s="152"/>
    </row>
    <row r="196" spans="3:136" ht="13.8" x14ac:dyDescent="0.25">
      <c r="C196" s="150"/>
      <c r="J196" s="153"/>
      <c r="K196" s="154"/>
      <c r="Y196" s="152"/>
      <c r="AL196" s="152"/>
      <c r="AO196" s="149"/>
      <c r="AP196" s="149"/>
      <c r="AQ196" s="149"/>
      <c r="AR196" s="149"/>
      <c r="AS196" s="149"/>
      <c r="BG196" s="155"/>
      <c r="BH196" s="152"/>
      <c r="EF196" s="152"/>
    </row>
    <row r="197" spans="3:136" ht="13.8" x14ac:dyDescent="0.25">
      <c r="C197" s="150"/>
      <c r="J197" s="153"/>
      <c r="K197" s="154"/>
      <c r="Y197" s="152"/>
      <c r="AL197" s="152"/>
      <c r="AO197" s="149"/>
      <c r="AP197" s="149"/>
      <c r="AQ197" s="149"/>
      <c r="AR197" s="149"/>
      <c r="AS197" s="149"/>
      <c r="BG197" s="155"/>
      <c r="BH197" s="152"/>
      <c r="EF197" s="152"/>
    </row>
    <row r="198" spans="3:136" ht="13.8" x14ac:dyDescent="0.25">
      <c r="C198" s="150"/>
      <c r="J198" s="153"/>
      <c r="K198" s="154"/>
      <c r="Y198" s="152"/>
      <c r="AL198" s="152"/>
      <c r="AO198" s="149"/>
      <c r="AP198" s="149"/>
      <c r="AQ198" s="149"/>
      <c r="AR198" s="149"/>
      <c r="AS198" s="149"/>
      <c r="BG198" s="155"/>
      <c r="BH198" s="152"/>
      <c r="EF198" s="152"/>
    </row>
    <row r="199" spans="3:136" ht="13.8" x14ac:dyDescent="0.25">
      <c r="C199" s="150"/>
      <c r="J199" s="153"/>
      <c r="K199" s="154"/>
      <c r="Y199" s="152"/>
      <c r="AL199" s="152"/>
      <c r="AO199" s="149"/>
      <c r="AP199" s="149"/>
      <c r="AQ199" s="149"/>
      <c r="AR199" s="149"/>
      <c r="AS199" s="149"/>
      <c r="BG199" s="155"/>
      <c r="BH199" s="152"/>
      <c r="EF199" s="152"/>
    </row>
    <row r="200" spans="3:136" ht="13.8" x14ac:dyDescent="0.25">
      <c r="C200" s="150"/>
      <c r="J200" s="153"/>
      <c r="K200" s="154"/>
      <c r="Y200" s="152"/>
      <c r="AL200" s="152"/>
      <c r="AO200" s="149"/>
      <c r="AP200" s="149"/>
      <c r="AQ200" s="149"/>
      <c r="AR200" s="149"/>
      <c r="AS200" s="149"/>
      <c r="BG200" s="155"/>
      <c r="BH200" s="152"/>
      <c r="EF200" s="152"/>
    </row>
    <row r="201" spans="3:136" ht="13.8" x14ac:dyDescent="0.25">
      <c r="C201" s="150"/>
      <c r="J201" s="153"/>
      <c r="K201" s="154"/>
      <c r="Y201" s="152"/>
      <c r="AL201" s="152"/>
      <c r="AO201" s="149"/>
      <c r="AP201" s="149"/>
      <c r="AQ201" s="149"/>
      <c r="AR201" s="149"/>
      <c r="AS201" s="149"/>
      <c r="BG201" s="155"/>
      <c r="BH201" s="152"/>
      <c r="EF201" s="152"/>
    </row>
    <row r="202" spans="3:136" ht="13.8" x14ac:dyDescent="0.25">
      <c r="C202" s="150"/>
      <c r="J202" s="153"/>
      <c r="K202" s="154"/>
      <c r="Y202" s="152"/>
      <c r="AL202" s="152"/>
      <c r="AO202" s="149"/>
      <c r="AP202" s="149"/>
      <c r="AQ202" s="149"/>
      <c r="AR202" s="149"/>
      <c r="AS202" s="149"/>
      <c r="BG202" s="155"/>
      <c r="BH202" s="152"/>
      <c r="EF202" s="152"/>
    </row>
    <row r="203" spans="3:136" ht="13.8" x14ac:dyDescent="0.25">
      <c r="C203" s="150"/>
      <c r="J203" s="153"/>
      <c r="K203" s="154"/>
      <c r="Y203" s="152"/>
      <c r="AL203" s="152"/>
      <c r="AO203" s="149"/>
      <c r="AP203" s="149"/>
      <c r="AQ203" s="149"/>
      <c r="AR203" s="149"/>
      <c r="AS203" s="149"/>
      <c r="BG203" s="155"/>
      <c r="BH203" s="152"/>
      <c r="EF203" s="152"/>
    </row>
    <row r="204" spans="3:136" ht="13.8" x14ac:dyDescent="0.25">
      <c r="C204" s="150"/>
      <c r="J204" s="153"/>
      <c r="K204" s="154"/>
      <c r="Y204" s="152"/>
      <c r="AL204" s="152"/>
      <c r="AO204" s="149"/>
      <c r="AP204" s="149"/>
      <c r="AQ204" s="149"/>
      <c r="AR204" s="149"/>
      <c r="AS204" s="149"/>
      <c r="BG204" s="155"/>
      <c r="BH204" s="152"/>
      <c r="EF204" s="152"/>
    </row>
    <row r="205" spans="3:136" ht="13.8" x14ac:dyDescent="0.25">
      <c r="C205" s="150"/>
      <c r="J205" s="153"/>
      <c r="K205" s="154"/>
      <c r="Y205" s="152"/>
      <c r="AL205" s="152"/>
      <c r="AO205" s="149"/>
      <c r="AP205" s="149"/>
      <c r="AQ205" s="149"/>
      <c r="AR205" s="149"/>
      <c r="AS205" s="149"/>
      <c r="BG205" s="155"/>
      <c r="BH205" s="152"/>
      <c r="EF205" s="152"/>
    </row>
    <row r="206" spans="3:136" ht="13.8" x14ac:dyDescent="0.25">
      <c r="C206" s="150"/>
      <c r="J206" s="153"/>
      <c r="K206" s="154"/>
      <c r="Y206" s="152"/>
      <c r="AL206" s="152"/>
      <c r="AO206" s="149"/>
      <c r="AP206" s="149"/>
      <c r="AQ206" s="149"/>
      <c r="AR206" s="149"/>
      <c r="AS206" s="149"/>
      <c r="BG206" s="155"/>
      <c r="BH206" s="152"/>
      <c r="EF206" s="152"/>
    </row>
    <row r="207" spans="3:136" ht="13.8" x14ac:dyDescent="0.25">
      <c r="C207" s="150"/>
      <c r="J207" s="153"/>
      <c r="K207" s="154"/>
      <c r="Y207" s="152"/>
      <c r="AL207" s="152"/>
      <c r="AO207" s="149"/>
      <c r="AP207" s="149"/>
      <c r="AQ207" s="149"/>
      <c r="AR207" s="149"/>
      <c r="AS207" s="149"/>
      <c r="BG207" s="155"/>
      <c r="BH207" s="152"/>
      <c r="EF207" s="152"/>
    </row>
    <row r="208" spans="3:136" ht="13.8" x14ac:dyDescent="0.25">
      <c r="C208" s="150"/>
      <c r="J208" s="153"/>
      <c r="K208" s="154"/>
      <c r="Y208" s="152"/>
      <c r="AL208" s="152"/>
      <c r="AO208" s="149"/>
      <c r="AP208" s="149"/>
      <c r="AQ208" s="149"/>
      <c r="AR208" s="149"/>
      <c r="AS208" s="149"/>
      <c r="BG208" s="155"/>
      <c r="BH208" s="152"/>
      <c r="EF208" s="152"/>
    </row>
    <row r="209" spans="3:136" ht="13.8" x14ac:dyDescent="0.25">
      <c r="C209" s="150"/>
      <c r="J209" s="153"/>
      <c r="K209" s="154"/>
      <c r="Y209" s="152"/>
      <c r="AL209" s="152"/>
      <c r="AO209" s="149"/>
      <c r="AP209" s="149"/>
      <c r="AQ209" s="149"/>
      <c r="AR209" s="149"/>
      <c r="AS209" s="149"/>
      <c r="BG209" s="155"/>
      <c r="BH209" s="152"/>
      <c r="EF209" s="152"/>
    </row>
    <row r="210" spans="3:136" ht="13.8" x14ac:dyDescent="0.25">
      <c r="C210" s="150"/>
      <c r="J210" s="153"/>
      <c r="K210" s="154"/>
      <c r="Y210" s="152"/>
      <c r="AL210" s="152"/>
      <c r="AO210" s="149"/>
      <c r="AP210" s="149"/>
      <c r="AQ210" s="149"/>
      <c r="AR210" s="149"/>
      <c r="AS210" s="149"/>
      <c r="BG210" s="155"/>
      <c r="BH210" s="152"/>
      <c r="EF210" s="152"/>
    </row>
    <row r="211" spans="3:136" ht="13.8" x14ac:dyDescent="0.25">
      <c r="C211" s="150"/>
      <c r="J211" s="153"/>
      <c r="K211" s="154"/>
      <c r="Y211" s="152"/>
      <c r="AL211" s="152"/>
      <c r="AO211" s="149"/>
      <c r="AP211" s="149"/>
      <c r="AQ211" s="149"/>
      <c r="AR211" s="149"/>
      <c r="AS211" s="149"/>
      <c r="BG211" s="155"/>
      <c r="BH211" s="152"/>
      <c r="EF211" s="152"/>
    </row>
    <row r="212" spans="3:136" ht="13.8" x14ac:dyDescent="0.25">
      <c r="C212" s="150"/>
      <c r="J212" s="153"/>
      <c r="K212" s="154"/>
      <c r="Y212" s="152"/>
      <c r="AL212" s="152"/>
      <c r="AO212" s="149"/>
      <c r="AP212" s="149"/>
      <c r="AQ212" s="149"/>
      <c r="AR212" s="149"/>
      <c r="AS212" s="149"/>
      <c r="BG212" s="155"/>
      <c r="BH212" s="152"/>
      <c r="EF212" s="152"/>
    </row>
    <row r="213" spans="3:136" ht="13.8" x14ac:dyDescent="0.25">
      <c r="C213" s="150"/>
      <c r="J213" s="153"/>
      <c r="K213" s="154"/>
      <c r="Y213" s="152"/>
      <c r="AL213" s="152"/>
      <c r="AO213" s="149"/>
      <c r="AP213" s="149"/>
      <c r="AQ213" s="149"/>
      <c r="AR213" s="149"/>
      <c r="AS213" s="149"/>
      <c r="BG213" s="155"/>
      <c r="BH213" s="152"/>
      <c r="EF213" s="152"/>
    </row>
    <row r="214" spans="3:136" ht="13.8" x14ac:dyDescent="0.25">
      <c r="C214" s="150"/>
      <c r="J214" s="153"/>
      <c r="K214" s="154"/>
      <c r="Y214" s="152"/>
      <c r="AL214" s="152"/>
      <c r="AO214" s="149"/>
      <c r="AP214" s="149"/>
      <c r="AQ214" s="149"/>
      <c r="AR214" s="149"/>
      <c r="AS214" s="149"/>
      <c r="BG214" s="155"/>
      <c r="BH214" s="152"/>
      <c r="EF214" s="152"/>
    </row>
    <row r="215" spans="3:136" ht="13.8" x14ac:dyDescent="0.25">
      <c r="C215" s="150"/>
      <c r="J215" s="153"/>
      <c r="K215" s="154"/>
      <c r="Y215" s="152"/>
      <c r="AL215" s="152"/>
      <c r="AO215" s="149"/>
      <c r="AP215" s="149"/>
      <c r="AQ215" s="149"/>
      <c r="AR215" s="149"/>
      <c r="AS215" s="149"/>
      <c r="BG215" s="155"/>
      <c r="BH215" s="152"/>
      <c r="EF215" s="152"/>
    </row>
    <row r="216" spans="3:136" ht="13.8" x14ac:dyDescent="0.25">
      <c r="C216" s="150"/>
      <c r="J216" s="153"/>
      <c r="K216" s="154"/>
      <c r="Y216" s="152"/>
      <c r="AL216" s="152"/>
      <c r="AO216" s="149"/>
      <c r="AP216" s="149"/>
      <c r="AQ216" s="149"/>
      <c r="AR216" s="149"/>
      <c r="AS216" s="149"/>
      <c r="BG216" s="155"/>
      <c r="BH216" s="152"/>
      <c r="EF216" s="152"/>
    </row>
    <row r="217" spans="3:136" ht="13.8" x14ac:dyDescent="0.25">
      <c r="C217" s="150"/>
      <c r="J217" s="153"/>
      <c r="K217" s="154"/>
      <c r="Y217" s="152"/>
      <c r="AL217" s="152"/>
      <c r="AO217" s="149"/>
      <c r="AP217" s="149"/>
      <c r="AQ217" s="149"/>
      <c r="AR217" s="149"/>
      <c r="AS217" s="149"/>
      <c r="BG217" s="155"/>
      <c r="BH217" s="152"/>
      <c r="EF217" s="152"/>
    </row>
    <row r="218" spans="3:136" ht="13.8" x14ac:dyDescent="0.25">
      <c r="C218" s="150"/>
      <c r="J218" s="153"/>
      <c r="K218" s="154"/>
      <c r="Y218" s="152"/>
      <c r="AL218" s="152"/>
      <c r="AO218" s="149"/>
      <c r="AP218" s="149"/>
      <c r="AQ218" s="149"/>
      <c r="AR218" s="149"/>
      <c r="AS218" s="149"/>
      <c r="BG218" s="155"/>
      <c r="BH218" s="152"/>
      <c r="EF218" s="152"/>
    </row>
    <row r="219" spans="3:136" ht="13.8" x14ac:dyDescent="0.25">
      <c r="C219" s="150"/>
      <c r="J219" s="153"/>
      <c r="K219" s="154"/>
      <c r="Y219" s="152"/>
      <c r="AL219" s="152"/>
      <c r="AO219" s="149"/>
      <c r="AP219" s="149"/>
      <c r="AQ219" s="149"/>
      <c r="AR219" s="149"/>
      <c r="AS219" s="149"/>
      <c r="BG219" s="155"/>
      <c r="BH219" s="152"/>
      <c r="EF219" s="152"/>
    </row>
    <row r="220" spans="3:136" ht="13.8" x14ac:dyDescent="0.25">
      <c r="C220" s="150"/>
      <c r="J220" s="153"/>
      <c r="K220" s="154"/>
      <c r="Y220" s="152"/>
      <c r="AL220" s="152"/>
      <c r="AO220" s="149"/>
      <c r="AP220" s="149"/>
      <c r="AQ220" s="149"/>
      <c r="AR220" s="149"/>
      <c r="AS220" s="149"/>
      <c r="BG220" s="155"/>
      <c r="BH220" s="152"/>
      <c r="EF220" s="152"/>
    </row>
    <row r="221" spans="3:136" ht="13.8" x14ac:dyDescent="0.25">
      <c r="C221" s="150"/>
      <c r="J221" s="153"/>
      <c r="K221" s="154"/>
      <c r="Y221" s="152"/>
      <c r="AL221" s="152"/>
      <c r="AO221" s="149"/>
      <c r="AP221" s="149"/>
      <c r="AQ221" s="149"/>
      <c r="AR221" s="149"/>
      <c r="AS221" s="149"/>
      <c r="BG221" s="155"/>
      <c r="BH221" s="152"/>
      <c r="EF221" s="152"/>
    </row>
    <row r="222" spans="3:136" ht="13.8" x14ac:dyDescent="0.25">
      <c r="C222" s="150"/>
      <c r="J222" s="153"/>
      <c r="K222" s="154"/>
      <c r="Y222" s="152"/>
      <c r="AL222" s="152"/>
      <c r="AO222" s="149"/>
      <c r="AP222" s="149"/>
      <c r="AQ222" s="149"/>
      <c r="AR222" s="149"/>
      <c r="AS222" s="149"/>
      <c r="BG222" s="155"/>
      <c r="BH222" s="152"/>
      <c r="EF222" s="152"/>
    </row>
    <row r="223" spans="3:136" ht="13.8" x14ac:dyDescent="0.25">
      <c r="C223" s="150"/>
      <c r="J223" s="153"/>
      <c r="K223" s="154"/>
      <c r="Y223" s="152"/>
      <c r="AL223" s="152"/>
      <c r="AO223" s="149"/>
      <c r="AP223" s="149"/>
      <c r="AQ223" s="149"/>
      <c r="AR223" s="149"/>
      <c r="AS223" s="149"/>
      <c r="BG223" s="155"/>
      <c r="BH223" s="152"/>
      <c r="EF223" s="152"/>
    </row>
    <row r="224" spans="3:136" ht="13.8" x14ac:dyDescent="0.25">
      <c r="C224" s="150"/>
      <c r="J224" s="153"/>
      <c r="K224" s="154"/>
      <c r="Y224" s="152"/>
      <c r="AL224" s="152"/>
      <c r="AO224" s="149"/>
      <c r="AP224" s="149"/>
      <c r="AQ224" s="149"/>
      <c r="AR224" s="149"/>
      <c r="AS224" s="149"/>
      <c r="BG224" s="155"/>
      <c r="BH224" s="152"/>
      <c r="EF224" s="152"/>
    </row>
    <row r="225" spans="3:136" ht="13.8" x14ac:dyDescent="0.25">
      <c r="C225" s="150"/>
      <c r="J225" s="153"/>
      <c r="K225" s="154"/>
      <c r="Y225" s="152"/>
      <c r="AL225" s="152"/>
      <c r="AO225" s="149"/>
      <c r="AP225" s="149"/>
      <c r="AQ225" s="149"/>
      <c r="AR225" s="149"/>
      <c r="AS225" s="149"/>
      <c r="BG225" s="155"/>
      <c r="BH225" s="152"/>
      <c r="EF225" s="152"/>
    </row>
    <row r="226" spans="3:136" ht="13.8" x14ac:dyDescent="0.25">
      <c r="C226" s="150"/>
      <c r="J226" s="153"/>
      <c r="K226" s="154"/>
      <c r="Y226" s="152"/>
      <c r="AL226" s="152"/>
      <c r="AO226" s="149"/>
      <c r="AP226" s="149"/>
      <c r="AQ226" s="149"/>
      <c r="AR226" s="149"/>
      <c r="AS226" s="149"/>
      <c r="BG226" s="155"/>
      <c r="BH226" s="152"/>
      <c r="EF226" s="152"/>
    </row>
    <row r="227" spans="3:136" ht="13.8" x14ac:dyDescent="0.25">
      <c r="C227" s="150"/>
      <c r="J227" s="153"/>
      <c r="K227" s="154"/>
      <c r="Y227" s="152"/>
      <c r="AL227" s="152"/>
      <c r="AO227" s="149"/>
      <c r="AP227" s="149"/>
      <c r="AQ227" s="149"/>
      <c r="AR227" s="149"/>
      <c r="AS227" s="149"/>
      <c r="BG227" s="155"/>
      <c r="BH227" s="152"/>
      <c r="EF227" s="152"/>
    </row>
    <row r="228" spans="3:136" ht="13.8" x14ac:dyDescent="0.25">
      <c r="C228" s="150"/>
      <c r="J228" s="153"/>
      <c r="K228" s="154"/>
      <c r="Y228" s="152"/>
      <c r="AL228" s="152"/>
      <c r="AO228" s="149"/>
      <c r="AP228" s="149"/>
      <c r="AQ228" s="149"/>
      <c r="AR228" s="149"/>
      <c r="AS228" s="149"/>
      <c r="BG228" s="155"/>
      <c r="BH228" s="152"/>
      <c r="EF228" s="152"/>
    </row>
    <row r="229" spans="3:136" ht="13.8" x14ac:dyDescent="0.25">
      <c r="C229" s="150"/>
      <c r="J229" s="153"/>
      <c r="K229" s="154"/>
      <c r="Y229" s="152"/>
      <c r="AL229" s="152"/>
      <c r="AO229" s="149"/>
      <c r="AP229" s="149"/>
      <c r="AQ229" s="149"/>
      <c r="AR229" s="149"/>
      <c r="AS229" s="149"/>
      <c r="BG229" s="155"/>
      <c r="BH229" s="152"/>
      <c r="EF229" s="152"/>
    </row>
    <row r="230" spans="3:136" ht="13.8" x14ac:dyDescent="0.25">
      <c r="C230" s="150"/>
      <c r="J230" s="153"/>
      <c r="K230" s="154"/>
      <c r="Y230" s="152"/>
      <c r="AL230" s="152"/>
      <c r="AO230" s="149"/>
      <c r="AP230" s="149"/>
      <c r="AQ230" s="149"/>
      <c r="AR230" s="149"/>
      <c r="AS230" s="149"/>
      <c r="BG230" s="155"/>
      <c r="BH230" s="152"/>
      <c r="EF230" s="152"/>
    </row>
    <row r="231" spans="3:136" ht="13.8" x14ac:dyDescent="0.25">
      <c r="C231" s="150"/>
      <c r="J231" s="153"/>
      <c r="K231" s="154"/>
      <c r="Y231" s="152"/>
      <c r="AL231" s="152"/>
      <c r="AO231" s="149"/>
      <c r="AP231" s="149"/>
      <c r="AQ231" s="149"/>
      <c r="AR231" s="149"/>
      <c r="AS231" s="149"/>
      <c r="BG231" s="155"/>
      <c r="BH231" s="152"/>
      <c r="EF231" s="152"/>
    </row>
    <row r="232" spans="3:136" ht="13.8" x14ac:dyDescent="0.25">
      <c r="C232" s="150"/>
      <c r="J232" s="153"/>
      <c r="K232" s="154"/>
      <c r="Y232" s="152"/>
      <c r="AL232" s="152"/>
      <c r="AO232" s="149"/>
      <c r="AP232" s="149"/>
      <c r="AQ232" s="149"/>
      <c r="AR232" s="149"/>
      <c r="AS232" s="149"/>
      <c r="BG232" s="155"/>
      <c r="BH232" s="152"/>
      <c r="EF232" s="152"/>
    </row>
    <row r="233" spans="3:136" ht="13.8" x14ac:dyDescent="0.25">
      <c r="C233" s="150"/>
      <c r="J233" s="153"/>
      <c r="K233" s="154"/>
      <c r="Y233" s="152"/>
      <c r="AL233" s="152"/>
      <c r="AO233" s="149"/>
      <c r="AP233" s="149"/>
      <c r="AQ233" s="149"/>
      <c r="AR233" s="149"/>
      <c r="AS233" s="149"/>
      <c r="BG233" s="155"/>
      <c r="BH233" s="152"/>
      <c r="EF233" s="152"/>
    </row>
    <row r="234" spans="3:136" ht="13.8" x14ac:dyDescent="0.25">
      <c r="C234" s="150"/>
      <c r="J234" s="153"/>
      <c r="K234" s="154"/>
      <c r="Y234" s="152"/>
      <c r="AL234" s="152"/>
      <c r="AO234" s="149"/>
      <c r="AP234" s="149"/>
      <c r="AQ234" s="149"/>
      <c r="AR234" s="149"/>
      <c r="AS234" s="149"/>
      <c r="BG234" s="155"/>
      <c r="BH234" s="152"/>
      <c r="EF234" s="152"/>
    </row>
    <row r="235" spans="3:136" ht="13.8" x14ac:dyDescent="0.25">
      <c r="C235" s="150"/>
      <c r="J235" s="153"/>
      <c r="K235" s="154"/>
      <c r="Y235" s="152"/>
      <c r="AL235" s="152"/>
      <c r="AO235" s="149"/>
      <c r="AP235" s="149"/>
      <c r="AQ235" s="149"/>
      <c r="AR235" s="149"/>
      <c r="AS235" s="149"/>
      <c r="BG235" s="155"/>
      <c r="BH235" s="152"/>
      <c r="EF235" s="152"/>
    </row>
    <row r="236" spans="3:136" ht="13.8" x14ac:dyDescent="0.25">
      <c r="C236" s="150"/>
      <c r="J236" s="153"/>
      <c r="K236" s="154"/>
      <c r="Y236" s="152"/>
      <c r="AL236" s="152"/>
      <c r="AO236" s="149"/>
      <c r="AP236" s="149"/>
      <c r="AQ236" s="149"/>
      <c r="AR236" s="149"/>
      <c r="AS236" s="149"/>
      <c r="BG236" s="155"/>
      <c r="BH236" s="152"/>
      <c r="EF236" s="152"/>
    </row>
    <row r="237" spans="3:136" ht="13.8" x14ac:dyDescent="0.25">
      <c r="C237" s="150"/>
      <c r="J237" s="153"/>
      <c r="K237" s="154"/>
      <c r="Y237" s="152"/>
      <c r="AL237" s="152"/>
      <c r="AO237" s="149"/>
      <c r="AP237" s="149"/>
      <c r="AQ237" s="149"/>
      <c r="AR237" s="149"/>
      <c r="AS237" s="149"/>
      <c r="BG237" s="155"/>
      <c r="BH237" s="152"/>
      <c r="EF237" s="152"/>
    </row>
    <row r="238" spans="3:136" ht="13.8" x14ac:dyDescent="0.25">
      <c r="C238" s="150"/>
      <c r="J238" s="153"/>
      <c r="K238" s="154"/>
      <c r="Y238" s="152"/>
      <c r="AL238" s="152"/>
      <c r="AO238" s="149"/>
      <c r="AP238" s="149"/>
      <c r="AQ238" s="149"/>
      <c r="AR238" s="149"/>
      <c r="AS238" s="149"/>
      <c r="BG238" s="155"/>
      <c r="BH238" s="152"/>
      <c r="EF238" s="152"/>
    </row>
    <row r="239" spans="3:136" ht="13.8" x14ac:dyDescent="0.25">
      <c r="C239" s="150"/>
      <c r="J239" s="153"/>
      <c r="K239" s="154"/>
      <c r="Y239" s="152"/>
      <c r="AL239" s="152"/>
      <c r="AO239" s="149"/>
      <c r="AP239" s="149"/>
      <c r="AQ239" s="149"/>
      <c r="AR239" s="149"/>
      <c r="AS239" s="149"/>
      <c r="BG239" s="155"/>
      <c r="BH239" s="152"/>
      <c r="EF239" s="152"/>
    </row>
    <row r="240" spans="3:136" ht="13.8" x14ac:dyDescent="0.25">
      <c r="C240" s="150"/>
      <c r="J240" s="153"/>
      <c r="K240" s="154"/>
      <c r="Y240" s="152"/>
      <c r="AL240" s="152"/>
      <c r="AO240" s="149"/>
      <c r="AP240" s="149"/>
      <c r="AQ240" s="149"/>
      <c r="AR240" s="149"/>
      <c r="AS240" s="149"/>
      <c r="BG240" s="155"/>
      <c r="BH240" s="152"/>
      <c r="EF240" s="152"/>
    </row>
    <row r="241" spans="3:136" ht="13.8" x14ac:dyDescent="0.25">
      <c r="C241" s="150"/>
      <c r="J241" s="153"/>
      <c r="K241" s="154"/>
      <c r="Y241" s="152"/>
      <c r="AL241" s="152"/>
      <c r="AO241" s="149"/>
      <c r="AP241" s="149"/>
      <c r="AQ241" s="149"/>
      <c r="AR241" s="149"/>
      <c r="AS241" s="149"/>
      <c r="BG241" s="155"/>
      <c r="BH241" s="152"/>
      <c r="EF241" s="152"/>
    </row>
    <row r="242" spans="3:136" ht="13.8" x14ac:dyDescent="0.25">
      <c r="C242" s="150"/>
      <c r="J242" s="153"/>
      <c r="K242" s="154"/>
      <c r="Y242" s="152"/>
      <c r="AL242" s="152"/>
      <c r="AO242" s="149"/>
      <c r="AP242" s="149"/>
      <c r="AQ242" s="149"/>
      <c r="AR242" s="149"/>
      <c r="AS242" s="149"/>
      <c r="BG242" s="155"/>
      <c r="BH242" s="152"/>
      <c r="EF242" s="152"/>
    </row>
    <row r="243" spans="3:136" ht="13.8" x14ac:dyDescent="0.25">
      <c r="C243" s="150"/>
      <c r="J243" s="153"/>
      <c r="K243" s="154"/>
      <c r="Y243" s="152"/>
      <c r="AL243" s="152"/>
      <c r="AO243" s="149"/>
      <c r="AP243" s="149"/>
      <c r="AQ243" s="149"/>
      <c r="AR243" s="149"/>
      <c r="AS243" s="149"/>
      <c r="BG243" s="155"/>
      <c r="BH243" s="152"/>
      <c r="EF243" s="152"/>
    </row>
    <row r="244" spans="3:136" ht="13.8" x14ac:dyDescent="0.25">
      <c r="C244" s="150"/>
      <c r="J244" s="153"/>
      <c r="K244" s="154"/>
      <c r="Y244" s="152"/>
      <c r="AL244" s="152"/>
      <c r="AO244" s="149"/>
      <c r="AP244" s="149"/>
      <c r="AQ244" s="149"/>
      <c r="AR244" s="149"/>
      <c r="AS244" s="149"/>
      <c r="BG244" s="155"/>
      <c r="BH244" s="152"/>
      <c r="EF244" s="152"/>
    </row>
    <row r="245" spans="3:136" ht="13.8" x14ac:dyDescent="0.25">
      <c r="C245" s="150"/>
      <c r="J245" s="153"/>
      <c r="K245" s="154"/>
      <c r="Y245" s="152"/>
      <c r="AL245" s="152"/>
      <c r="AO245" s="149"/>
      <c r="AP245" s="149"/>
      <c r="AQ245" s="149"/>
      <c r="AR245" s="149"/>
      <c r="AS245" s="149"/>
      <c r="BG245" s="155"/>
      <c r="BH245" s="152"/>
      <c r="EF245" s="152"/>
    </row>
    <row r="246" spans="3:136" ht="13.8" x14ac:dyDescent="0.25">
      <c r="C246" s="150"/>
      <c r="J246" s="153"/>
      <c r="K246" s="154"/>
      <c r="Y246" s="152"/>
      <c r="AL246" s="152"/>
      <c r="AO246" s="149"/>
      <c r="AP246" s="149"/>
      <c r="AQ246" s="149"/>
      <c r="AR246" s="149"/>
      <c r="AS246" s="149"/>
      <c r="BG246" s="155"/>
      <c r="BH246" s="152"/>
      <c r="EF246" s="152"/>
    </row>
    <row r="247" spans="3:136" ht="13.8" x14ac:dyDescent="0.25">
      <c r="C247" s="150"/>
      <c r="J247" s="153"/>
      <c r="K247" s="154"/>
      <c r="Y247" s="152"/>
      <c r="AL247" s="152"/>
      <c r="AO247" s="149"/>
      <c r="AP247" s="149"/>
      <c r="AQ247" s="149"/>
      <c r="AR247" s="149"/>
      <c r="AS247" s="149"/>
      <c r="BG247" s="155"/>
      <c r="BH247" s="152"/>
      <c r="EF247" s="152"/>
    </row>
    <row r="248" spans="3:136" ht="13.8" x14ac:dyDescent="0.25">
      <c r="C248" s="150"/>
      <c r="J248" s="153"/>
      <c r="K248" s="154"/>
      <c r="Y248" s="152"/>
      <c r="AL248" s="152"/>
      <c r="AO248" s="149"/>
      <c r="AP248" s="149"/>
      <c r="AQ248" s="149"/>
      <c r="AR248" s="149"/>
      <c r="AS248" s="149"/>
      <c r="BG248" s="155"/>
      <c r="BH248" s="152"/>
      <c r="EF248" s="152"/>
    </row>
    <row r="249" spans="3:136" ht="13.8" x14ac:dyDescent="0.25">
      <c r="C249" s="150"/>
      <c r="J249" s="153"/>
      <c r="K249" s="154"/>
      <c r="Y249" s="152"/>
      <c r="AL249" s="152"/>
      <c r="AO249" s="149"/>
      <c r="AP249" s="149"/>
      <c r="AQ249" s="149"/>
      <c r="AR249" s="149"/>
      <c r="AS249" s="149"/>
      <c r="BG249" s="155"/>
      <c r="BH249" s="152"/>
      <c r="EF249" s="152"/>
    </row>
    <row r="250" spans="3:136" ht="13.8" x14ac:dyDescent="0.25">
      <c r="C250" s="150"/>
      <c r="J250" s="153"/>
      <c r="K250" s="154"/>
      <c r="Y250" s="152"/>
      <c r="AL250" s="152"/>
      <c r="AO250" s="149"/>
      <c r="AP250" s="149"/>
      <c r="AQ250" s="149"/>
      <c r="AR250" s="149"/>
      <c r="AS250" s="149"/>
      <c r="BG250" s="155"/>
      <c r="BH250" s="152"/>
      <c r="EF250" s="152"/>
    </row>
    <row r="251" spans="3:136" ht="13.8" x14ac:dyDescent="0.25">
      <c r="C251" s="150"/>
      <c r="J251" s="153"/>
      <c r="K251" s="154"/>
      <c r="Y251" s="152"/>
      <c r="AL251" s="152"/>
      <c r="AO251" s="149"/>
      <c r="AP251" s="149"/>
      <c r="AQ251" s="149"/>
      <c r="AR251" s="149"/>
      <c r="AS251" s="149"/>
      <c r="BG251" s="155"/>
      <c r="BH251" s="152"/>
      <c r="EF251" s="152"/>
    </row>
    <row r="252" spans="3:136" ht="13.8" x14ac:dyDescent="0.25">
      <c r="C252" s="150"/>
      <c r="J252" s="153"/>
      <c r="K252" s="154"/>
      <c r="Y252" s="152"/>
      <c r="AL252" s="152"/>
      <c r="AO252" s="149"/>
      <c r="AP252" s="149"/>
      <c r="AQ252" s="149"/>
      <c r="AR252" s="149"/>
      <c r="AS252" s="149"/>
      <c r="BG252" s="155"/>
      <c r="BH252" s="152"/>
      <c r="EF252" s="152"/>
    </row>
    <row r="253" spans="3:136" ht="13.8" x14ac:dyDescent="0.25">
      <c r="C253" s="150"/>
      <c r="J253" s="153"/>
      <c r="K253" s="154"/>
      <c r="Y253" s="152"/>
      <c r="AL253" s="152"/>
      <c r="AO253" s="149"/>
      <c r="AP253" s="149"/>
      <c r="AQ253" s="149"/>
      <c r="AR253" s="149"/>
      <c r="AS253" s="149"/>
      <c r="BG253" s="155"/>
      <c r="BH253" s="152"/>
      <c r="EF253" s="152"/>
    </row>
    <row r="254" spans="3:136" ht="13.8" x14ac:dyDescent="0.25">
      <c r="C254" s="150"/>
      <c r="J254" s="153"/>
      <c r="K254" s="154"/>
      <c r="Y254" s="152"/>
      <c r="AL254" s="152"/>
      <c r="AO254" s="149"/>
      <c r="AP254" s="149"/>
      <c r="AQ254" s="149"/>
      <c r="AR254" s="149"/>
      <c r="AS254" s="149"/>
      <c r="BG254" s="155"/>
      <c r="BH254" s="152"/>
      <c r="EF254" s="152"/>
    </row>
    <row r="255" spans="3:136" ht="13.8" x14ac:dyDescent="0.25">
      <c r="C255" s="150"/>
      <c r="J255" s="153"/>
      <c r="K255" s="154"/>
      <c r="Y255" s="152"/>
      <c r="AL255" s="152"/>
      <c r="AO255" s="149"/>
      <c r="AP255" s="149"/>
      <c r="AQ255" s="149"/>
      <c r="AR255" s="149"/>
      <c r="AS255" s="149"/>
      <c r="BG255" s="155"/>
      <c r="BH255" s="152"/>
      <c r="EF255" s="152"/>
    </row>
    <row r="256" spans="3:136" ht="13.8" x14ac:dyDescent="0.25">
      <c r="C256" s="150"/>
      <c r="J256" s="153"/>
      <c r="K256" s="154"/>
      <c r="Y256" s="152"/>
      <c r="AL256" s="152"/>
      <c r="AO256" s="149"/>
      <c r="AP256" s="149"/>
      <c r="AQ256" s="149"/>
      <c r="AR256" s="149"/>
      <c r="AS256" s="149"/>
      <c r="BG256" s="155"/>
      <c r="BH256" s="152"/>
      <c r="EF256" s="152"/>
    </row>
    <row r="257" spans="3:136" ht="13.8" x14ac:dyDescent="0.25">
      <c r="C257" s="150"/>
      <c r="J257" s="153"/>
      <c r="K257" s="154"/>
      <c r="Y257" s="152"/>
      <c r="AL257" s="152"/>
      <c r="AO257" s="149"/>
      <c r="AP257" s="149"/>
      <c r="AQ257" s="149"/>
      <c r="AR257" s="149"/>
      <c r="AS257" s="149"/>
      <c r="BG257" s="155"/>
      <c r="BH257" s="152"/>
      <c r="EF257" s="152"/>
    </row>
    <row r="258" spans="3:136" ht="13.8" x14ac:dyDescent="0.25">
      <c r="C258" s="150"/>
      <c r="J258" s="153"/>
      <c r="K258" s="154"/>
      <c r="Y258" s="152"/>
      <c r="AL258" s="152"/>
      <c r="AO258" s="149"/>
      <c r="AP258" s="149"/>
      <c r="AQ258" s="149"/>
      <c r="AR258" s="149"/>
      <c r="AS258" s="149"/>
      <c r="BG258" s="155"/>
      <c r="BH258" s="152"/>
      <c r="EF258" s="152"/>
    </row>
    <row r="259" spans="3:136" ht="13.8" x14ac:dyDescent="0.25">
      <c r="C259" s="150"/>
      <c r="J259" s="153"/>
      <c r="K259" s="154"/>
      <c r="Y259" s="152"/>
      <c r="AL259" s="152"/>
      <c r="AO259" s="149"/>
      <c r="AP259" s="149"/>
      <c r="AQ259" s="149"/>
      <c r="AR259" s="149"/>
      <c r="AS259" s="149"/>
      <c r="BG259" s="155"/>
      <c r="BH259" s="152"/>
      <c r="EF259" s="152"/>
    </row>
    <row r="260" spans="3:136" ht="13.8" x14ac:dyDescent="0.25">
      <c r="C260" s="150"/>
      <c r="J260" s="153"/>
      <c r="K260" s="154"/>
      <c r="Y260" s="152"/>
      <c r="AL260" s="152"/>
      <c r="AO260" s="149"/>
      <c r="AP260" s="149"/>
      <c r="AQ260" s="149"/>
      <c r="AR260" s="149"/>
      <c r="AS260" s="149"/>
      <c r="BG260" s="155"/>
      <c r="BH260" s="152"/>
      <c r="EF260" s="152"/>
    </row>
    <row r="261" spans="3:136" ht="13.8" x14ac:dyDescent="0.25">
      <c r="C261" s="150"/>
      <c r="J261" s="153"/>
      <c r="K261" s="154"/>
      <c r="Y261" s="152"/>
      <c r="AL261" s="152"/>
      <c r="AO261" s="149"/>
      <c r="AP261" s="149"/>
      <c r="AQ261" s="149"/>
      <c r="AR261" s="149"/>
      <c r="AS261" s="149"/>
      <c r="BG261" s="155"/>
      <c r="BH261" s="152"/>
      <c r="EF261" s="152"/>
    </row>
    <row r="262" spans="3:136" ht="13.8" x14ac:dyDescent="0.25">
      <c r="C262" s="150"/>
      <c r="J262" s="153"/>
      <c r="K262" s="154"/>
      <c r="Y262" s="152"/>
      <c r="AL262" s="152"/>
      <c r="AO262" s="149"/>
      <c r="AP262" s="149"/>
      <c r="AQ262" s="149"/>
      <c r="AR262" s="149"/>
      <c r="AS262" s="149"/>
      <c r="BG262" s="155"/>
      <c r="BH262" s="152"/>
      <c r="EF262" s="152"/>
    </row>
    <row r="263" spans="3:136" ht="13.8" x14ac:dyDescent="0.25">
      <c r="C263" s="150"/>
      <c r="J263" s="153"/>
      <c r="K263" s="154"/>
      <c r="Y263" s="152"/>
      <c r="AL263" s="152"/>
      <c r="AO263" s="149"/>
      <c r="AP263" s="149"/>
      <c r="AQ263" s="149"/>
      <c r="AR263" s="149"/>
      <c r="AS263" s="149"/>
      <c r="BG263" s="155"/>
      <c r="BH263" s="152"/>
      <c r="EF263" s="152"/>
    </row>
    <row r="264" spans="3:136" ht="13.8" x14ac:dyDescent="0.25">
      <c r="C264" s="150"/>
      <c r="J264" s="153"/>
      <c r="K264" s="154"/>
      <c r="Y264" s="152"/>
      <c r="AL264" s="152"/>
      <c r="AO264" s="149"/>
      <c r="AP264" s="149"/>
      <c r="AQ264" s="149"/>
      <c r="AR264" s="149"/>
      <c r="AS264" s="149"/>
      <c r="BG264" s="155"/>
      <c r="BH264" s="152"/>
      <c r="EF264" s="152"/>
    </row>
    <row r="265" spans="3:136" ht="13.8" x14ac:dyDescent="0.25">
      <c r="C265" s="150"/>
      <c r="J265" s="153"/>
      <c r="K265" s="154"/>
      <c r="Y265" s="152"/>
      <c r="AL265" s="152"/>
      <c r="AO265" s="149"/>
      <c r="AP265" s="149"/>
      <c r="AQ265" s="149"/>
      <c r="AR265" s="149"/>
      <c r="AS265" s="149"/>
      <c r="BG265" s="155"/>
      <c r="BH265" s="152"/>
      <c r="EF265" s="152"/>
    </row>
    <row r="266" spans="3:136" ht="13.8" x14ac:dyDescent="0.25">
      <c r="C266" s="150"/>
      <c r="J266" s="153"/>
      <c r="K266" s="154"/>
      <c r="Y266" s="152"/>
      <c r="AL266" s="152"/>
      <c r="AO266" s="149"/>
      <c r="AP266" s="149"/>
      <c r="AQ266" s="149"/>
      <c r="AR266" s="149"/>
      <c r="AS266" s="149"/>
      <c r="BG266" s="155"/>
      <c r="BH266" s="152"/>
      <c r="EF266" s="152"/>
    </row>
    <row r="267" spans="3:136" ht="13.8" x14ac:dyDescent="0.25">
      <c r="C267" s="150"/>
      <c r="J267" s="153"/>
      <c r="K267" s="154"/>
      <c r="Y267" s="152"/>
      <c r="AL267" s="152"/>
      <c r="AO267" s="149"/>
      <c r="AP267" s="149"/>
      <c r="AQ267" s="149"/>
      <c r="AR267" s="149"/>
      <c r="AS267" s="149"/>
      <c r="BG267" s="155"/>
      <c r="BH267" s="152"/>
      <c r="EF267" s="152"/>
    </row>
    <row r="268" spans="3:136" ht="13.8" x14ac:dyDescent="0.25">
      <c r="C268" s="150"/>
      <c r="J268" s="153"/>
      <c r="K268" s="154"/>
      <c r="Y268" s="152"/>
      <c r="AL268" s="152"/>
      <c r="AO268" s="149"/>
      <c r="AP268" s="149"/>
      <c r="AQ268" s="149"/>
      <c r="AR268" s="149"/>
      <c r="AS268" s="149"/>
      <c r="BG268" s="155"/>
      <c r="BH268" s="152"/>
      <c r="EF268" s="152"/>
    </row>
    <row r="269" spans="3:136" ht="13.8" x14ac:dyDescent="0.25">
      <c r="C269" s="150"/>
      <c r="J269" s="153"/>
      <c r="K269" s="154"/>
      <c r="Y269" s="152"/>
      <c r="AL269" s="152"/>
      <c r="AO269" s="149"/>
      <c r="AP269" s="149"/>
      <c r="AQ269" s="149"/>
      <c r="AR269" s="149"/>
      <c r="AS269" s="149"/>
      <c r="BG269" s="155"/>
      <c r="BH269" s="152"/>
      <c r="EF269" s="152"/>
    </row>
    <row r="270" spans="3:136" ht="13.8" x14ac:dyDescent="0.25">
      <c r="C270" s="150"/>
      <c r="J270" s="153"/>
      <c r="K270" s="154"/>
      <c r="Y270" s="152"/>
      <c r="AL270" s="152"/>
      <c r="AO270" s="149"/>
      <c r="AP270" s="149"/>
      <c r="AQ270" s="149"/>
      <c r="AR270" s="149"/>
      <c r="AS270" s="149"/>
      <c r="BG270" s="155"/>
      <c r="BH270" s="152"/>
      <c r="EF270" s="152"/>
    </row>
    <row r="271" spans="3:136" ht="13.8" x14ac:dyDescent="0.25">
      <c r="C271" s="150"/>
      <c r="J271" s="153"/>
      <c r="K271" s="154"/>
      <c r="Y271" s="152"/>
      <c r="AL271" s="152"/>
      <c r="AO271" s="149"/>
      <c r="AP271" s="149"/>
      <c r="AQ271" s="149"/>
      <c r="AR271" s="149"/>
      <c r="AS271" s="149"/>
      <c r="BG271" s="155"/>
      <c r="BH271" s="152"/>
      <c r="EF271" s="152"/>
    </row>
    <row r="272" spans="3:136" ht="13.8" x14ac:dyDescent="0.25">
      <c r="C272" s="150"/>
      <c r="J272" s="153"/>
      <c r="K272" s="154"/>
      <c r="Y272" s="152"/>
      <c r="AL272" s="152"/>
      <c r="AO272" s="149"/>
      <c r="AP272" s="149"/>
      <c r="AQ272" s="149"/>
      <c r="AR272" s="149"/>
      <c r="AS272" s="149"/>
      <c r="BG272" s="155"/>
      <c r="BH272" s="152"/>
      <c r="EF272" s="152"/>
    </row>
    <row r="273" spans="3:136" ht="13.8" x14ac:dyDescent="0.25">
      <c r="C273" s="150"/>
      <c r="J273" s="153"/>
      <c r="K273" s="154"/>
      <c r="Y273" s="152"/>
      <c r="AL273" s="152"/>
      <c r="AO273" s="149"/>
      <c r="AP273" s="149"/>
      <c r="AQ273" s="149"/>
      <c r="AR273" s="149"/>
      <c r="AS273" s="149"/>
      <c r="BG273" s="155"/>
      <c r="BH273" s="152"/>
      <c r="EF273" s="152"/>
    </row>
    <row r="274" spans="3:136" ht="13.8" x14ac:dyDescent="0.25">
      <c r="C274" s="150"/>
      <c r="J274" s="153"/>
      <c r="K274" s="154"/>
      <c r="Y274" s="152"/>
      <c r="AL274" s="152"/>
      <c r="AO274" s="149"/>
      <c r="AP274" s="149"/>
      <c r="AQ274" s="149"/>
      <c r="AR274" s="149"/>
      <c r="AS274" s="149"/>
      <c r="BG274" s="155"/>
      <c r="BH274" s="152"/>
      <c r="EF274" s="152"/>
    </row>
    <row r="275" spans="3:136" ht="13.8" x14ac:dyDescent="0.25">
      <c r="C275" s="150"/>
      <c r="J275" s="153"/>
      <c r="K275" s="154"/>
      <c r="Y275" s="152"/>
      <c r="AL275" s="152"/>
      <c r="AO275" s="149"/>
      <c r="AP275" s="149"/>
      <c r="AQ275" s="149"/>
      <c r="AR275" s="149"/>
      <c r="AS275" s="149"/>
      <c r="BG275" s="155"/>
      <c r="BH275" s="152"/>
      <c r="EF275" s="152"/>
    </row>
    <row r="276" spans="3:136" ht="13.8" x14ac:dyDescent="0.25">
      <c r="C276" s="150"/>
      <c r="J276" s="153"/>
      <c r="K276" s="154"/>
      <c r="Y276" s="152"/>
      <c r="AL276" s="152"/>
      <c r="AO276" s="149"/>
      <c r="AP276" s="149"/>
      <c r="AQ276" s="149"/>
      <c r="AR276" s="149"/>
      <c r="AS276" s="149"/>
      <c r="BG276" s="155"/>
      <c r="BH276" s="152"/>
      <c r="EF276" s="152"/>
    </row>
    <row r="277" spans="3:136" ht="13.8" x14ac:dyDescent="0.25">
      <c r="C277" s="150"/>
      <c r="J277" s="153"/>
      <c r="K277" s="154"/>
      <c r="Y277" s="152"/>
      <c r="AL277" s="152"/>
      <c r="AO277" s="149"/>
      <c r="AP277" s="149"/>
      <c r="AQ277" s="149"/>
      <c r="AR277" s="149"/>
      <c r="AS277" s="149"/>
      <c r="BG277" s="155"/>
      <c r="BH277" s="152"/>
      <c r="EF277" s="152"/>
    </row>
    <row r="278" spans="3:136" ht="13.8" x14ac:dyDescent="0.25">
      <c r="C278" s="150"/>
      <c r="J278" s="153"/>
      <c r="K278" s="154"/>
      <c r="Y278" s="152"/>
      <c r="AL278" s="152"/>
      <c r="AO278" s="149"/>
      <c r="AP278" s="149"/>
      <c r="AQ278" s="149"/>
      <c r="AR278" s="149"/>
      <c r="AS278" s="149"/>
      <c r="BG278" s="155"/>
      <c r="BH278" s="152"/>
      <c r="EF278" s="152"/>
    </row>
    <row r="279" spans="3:136" ht="13.8" x14ac:dyDescent="0.25">
      <c r="C279" s="150"/>
      <c r="J279" s="153"/>
      <c r="K279" s="154"/>
      <c r="Y279" s="152"/>
      <c r="AL279" s="152"/>
      <c r="AO279" s="149"/>
      <c r="AP279" s="149"/>
      <c r="AQ279" s="149"/>
      <c r="AR279" s="149"/>
      <c r="AS279" s="149"/>
      <c r="BG279" s="155"/>
      <c r="BH279" s="152"/>
      <c r="EF279" s="152"/>
    </row>
    <row r="280" spans="3:136" ht="13.8" x14ac:dyDescent="0.25">
      <c r="C280" s="150"/>
      <c r="J280" s="153"/>
      <c r="K280" s="154"/>
      <c r="Y280" s="152"/>
      <c r="AL280" s="152"/>
      <c r="AO280" s="149"/>
      <c r="AP280" s="149"/>
      <c r="AQ280" s="149"/>
      <c r="AR280" s="149"/>
      <c r="AS280" s="149"/>
      <c r="BG280" s="155"/>
      <c r="BH280" s="152"/>
      <c r="EF280" s="152"/>
    </row>
    <row r="281" spans="3:136" ht="13.8" x14ac:dyDescent="0.25">
      <c r="C281" s="150"/>
      <c r="J281" s="153"/>
      <c r="K281" s="154"/>
      <c r="Y281" s="152"/>
      <c r="AL281" s="152"/>
      <c r="AO281" s="149"/>
      <c r="AP281" s="149"/>
      <c r="AQ281" s="149"/>
      <c r="AR281" s="149"/>
      <c r="AS281" s="149"/>
      <c r="BG281" s="155"/>
      <c r="BH281" s="152"/>
      <c r="EF281" s="152"/>
    </row>
    <row r="282" spans="3:136" ht="13.8" x14ac:dyDescent="0.25">
      <c r="C282" s="150"/>
      <c r="J282" s="153"/>
      <c r="K282" s="154"/>
      <c r="Y282" s="152"/>
      <c r="AL282" s="152"/>
      <c r="AO282" s="149"/>
      <c r="AP282" s="149"/>
      <c r="AQ282" s="149"/>
      <c r="AR282" s="149"/>
      <c r="AS282" s="149"/>
      <c r="BG282" s="155"/>
      <c r="BH282" s="152"/>
      <c r="EF282" s="152"/>
    </row>
    <row r="283" spans="3:136" ht="13.8" x14ac:dyDescent="0.25">
      <c r="C283" s="150"/>
      <c r="J283" s="153"/>
      <c r="K283" s="154"/>
      <c r="Y283" s="152"/>
      <c r="AL283" s="152"/>
      <c r="AO283" s="149"/>
      <c r="AP283" s="149"/>
      <c r="AQ283" s="149"/>
      <c r="AR283" s="149"/>
      <c r="AS283" s="149"/>
      <c r="BG283" s="155"/>
      <c r="BH283" s="152"/>
      <c r="EF283" s="152"/>
    </row>
    <row r="284" spans="3:136" ht="13.8" x14ac:dyDescent="0.25">
      <c r="C284" s="150"/>
      <c r="J284" s="153"/>
      <c r="K284" s="154"/>
      <c r="Y284" s="152"/>
      <c r="AL284" s="152"/>
      <c r="AO284" s="149"/>
      <c r="AP284" s="149"/>
      <c r="AQ284" s="149"/>
      <c r="AR284" s="149"/>
      <c r="AS284" s="149"/>
      <c r="BG284" s="155"/>
      <c r="BH284" s="152"/>
      <c r="EF284" s="152"/>
    </row>
    <row r="285" spans="3:136" ht="13.8" x14ac:dyDescent="0.25">
      <c r="C285" s="150"/>
      <c r="J285" s="153"/>
      <c r="K285" s="154"/>
      <c r="Y285" s="152"/>
      <c r="AL285" s="152"/>
      <c r="AO285" s="149"/>
      <c r="AP285" s="149"/>
      <c r="AQ285" s="149"/>
      <c r="AR285" s="149"/>
      <c r="AS285" s="149"/>
      <c r="BG285" s="155"/>
      <c r="BH285" s="152"/>
      <c r="EF285" s="152"/>
    </row>
    <row r="286" spans="3:136" ht="13.8" x14ac:dyDescent="0.25">
      <c r="C286" s="150"/>
      <c r="J286" s="153"/>
      <c r="K286" s="154"/>
      <c r="Y286" s="152"/>
      <c r="AL286" s="152"/>
      <c r="AO286" s="149"/>
      <c r="AP286" s="149"/>
      <c r="AQ286" s="149"/>
      <c r="AR286" s="149"/>
      <c r="AS286" s="149"/>
      <c r="BG286" s="155"/>
      <c r="BH286" s="152"/>
      <c r="EF286" s="152"/>
    </row>
    <row r="287" spans="3:136" ht="13.8" x14ac:dyDescent="0.25">
      <c r="C287" s="150"/>
      <c r="J287" s="153"/>
      <c r="K287" s="154"/>
      <c r="Y287" s="152"/>
      <c r="AL287" s="152"/>
      <c r="AO287" s="149"/>
      <c r="AP287" s="149"/>
      <c r="AQ287" s="149"/>
      <c r="AR287" s="149"/>
      <c r="AS287" s="149"/>
      <c r="BG287" s="155"/>
      <c r="BH287" s="152"/>
      <c r="EF287" s="152"/>
    </row>
    <row r="288" spans="3:136" ht="13.8" x14ac:dyDescent="0.25">
      <c r="C288" s="150"/>
      <c r="J288" s="153"/>
      <c r="K288" s="154"/>
      <c r="Y288" s="152"/>
      <c r="AL288" s="152"/>
      <c r="AO288" s="149"/>
      <c r="AP288" s="149"/>
      <c r="AQ288" s="149"/>
      <c r="AR288" s="149"/>
      <c r="AS288" s="149"/>
      <c r="BG288" s="155"/>
      <c r="BH288" s="152"/>
      <c r="EF288" s="152"/>
    </row>
    <row r="289" spans="3:136" ht="13.8" x14ac:dyDescent="0.25">
      <c r="C289" s="150"/>
      <c r="J289" s="153"/>
      <c r="K289" s="154"/>
      <c r="Y289" s="152"/>
      <c r="AL289" s="152"/>
      <c r="AO289" s="149"/>
      <c r="AP289" s="149"/>
      <c r="AQ289" s="149"/>
      <c r="AR289" s="149"/>
      <c r="AS289" s="149"/>
      <c r="BG289" s="155"/>
      <c r="BH289" s="152"/>
      <c r="EF289" s="152"/>
    </row>
    <row r="290" spans="3:136" ht="13.8" x14ac:dyDescent="0.25">
      <c r="C290" s="150"/>
      <c r="J290" s="153"/>
      <c r="K290" s="154"/>
      <c r="Y290" s="152"/>
      <c r="AL290" s="152"/>
      <c r="AO290" s="149"/>
      <c r="AP290" s="149"/>
      <c r="AQ290" s="149"/>
      <c r="AR290" s="149"/>
      <c r="AS290" s="149"/>
      <c r="BG290" s="155"/>
      <c r="BH290" s="152"/>
      <c r="EF290" s="152"/>
    </row>
    <row r="291" spans="3:136" ht="13.8" x14ac:dyDescent="0.25">
      <c r="C291" s="150"/>
      <c r="J291" s="153"/>
      <c r="K291" s="154"/>
      <c r="Y291" s="152"/>
      <c r="AL291" s="152"/>
      <c r="AO291" s="149"/>
      <c r="AP291" s="149"/>
      <c r="AQ291" s="149"/>
      <c r="AR291" s="149"/>
      <c r="AS291" s="149"/>
      <c r="BG291" s="155"/>
      <c r="BH291" s="152"/>
      <c r="EF291" s="152"/>
    </row>
    <row r="292" spans="3:136" ht="13.8" x14ac:dyDescent="0.25">
      <c r="C292" s="150"/>
      <c r="J292" s="153"/>
      <c r="K292" s="154"/>
      <c r="Y292" s="152"/>
      <c r="AL292" s="152"/>
      <c r="AO292" s="149"/>
      <c r="AP292" s="149"/>
      <c r="AQ292" s="149"/>
      <c r="AR292" s="149"/>
      <c r="AS292" s="149"/>
      <c r="BG292" s="155"/>
      <c r="BH292" s="152"/>
      <c r="EF292" s="152"/>
    </row>
    <row r="293" spans="3:136" ht="13.8" x14ac:dyDescent="0.25">
      <c r="C293" s="150"/>
      <c r="J293" s="153"/>
      <c r="K293" s="154"/>
      <c r="Y293" s="152"/>
      <c r="AL293" s="152"/>
      <c r="AO293" s="149"/>
      <c r="AP293" s="149"/>
      <c r="AQ293" s="149"/>
      <c r="AR293" s="149"/>
      <c r="AS293" s="149"/>
      <c r="BG293" s="155"/>
      <c r="BH293" s="152"/>
      <c r="EF293" s="152"/>
    </row>
    <row r="294" spans="3:136" ht="13.8" x14ac:dyDescent="0.25">
      <c r="C294" s="150"/>
      <c r="J294" s="153"/>
      <c r="K294" s="154"/>
      <c r="Y294" s="152"/>
      <c r="AL294" s="152"/>
      <c r="AO294" s="149"/>
      <c r="AP294" s="149"/>
      <c r="AQ294" s="149"/>
      <c r="AR294" s="149"/>
      <c r="AS294" s="149"/>
      <c r="BG294" s="155"/>
      <c r="BH294" s="152"/>
      <c r="EF294" s="152"/>
    </row>
    <row r="295" spans="3:136" ht="13.8" x14ac:dyDescent="0.25">
      <c r="C295" s="150"/>
      <c r="J295" s="153"/>
      <c r="K295" s="154"/>
      <c r="Y295" s="152"/>
      <c r="AL295" s="152"/>
      <c r="AO295" s="149"/>
      <c r="AP295" s="149"/>
      <c r="AQ295" s="149"/>
      <c r="AR295" s="149"/>
      <c r="AS295" s="149"/>
      <c r="BG295" s="155"/>
      <c r="BH295" s="152"/>
      <c r="EF295" s="152"/>
    </row>
    <row r="296" spans="3:136" ht="13.8" x14ac:dyDescent="0.25">
      <c r="C296" s="150"/>
      <c r="J296" s="153"/>
      <c r="K296" s="154"/>
      <c r="Y296" s="152"/>
      <c r="AL296" s="152"/>
      <c r="AO296" s="149"/>
      <c r="AP296" s="149"/>
      <c r="AQ296" s="149"/>
      <c r="AR296" s="149"/>
      <c r="AS296" s="149"/>
      <c r="BG296" s="155"/>
      <c r="BH296" s="152"/>
      <c r="EF296" s="152"/>
    </row>
    <row r="297" spans="3:136" ht="13.8" x14ac:dyDescent="0.25">
      <c r="C297" s="150"/>
      <c r="J297" s="153"/>
      <c r="K297" s="154"/>
      <c r="Y297" s="152"/>
      <c r="AL297" s="152"/>
      <c r="AO297" s="149"/>
      <c r="AP297" s="149"/>
      <c r="AQ297" s="149"/>
      <c r="AR297" s="149"/>
      <c r="AS297" s="149"/>
      <c r="BG297" s="155"/>
      <c r="BH297" s="152"/>
      <c r="EF297" s="152"/>
    </row>
    <row r="298" spans="3:136" ht="13.8" x14ac:dyDescent="0.25">
      <c r="C298" s="150"/>
      <c r="J298" s="153"/>
      <c r="K298" s="154"/>
      <c r="Y298" s="152"/>
      <c r="AL298" s="152"/>
      <c r="AO298" s="149"/>
      <c r="AP298" s="149"/>
      <c r="AQ298" s="149"/>
      <c r="AR298" s="149"/>
      <c r="AS298" s="149"/>
      <c r="BG298" s="155"/>
      <c r="BH298" s="152"/>
      <c r="EF298" s="152"/>
    </row>
    <row r="299" spans="3:136" ht="13.8" x14ac:dyDescent="0.25">
      <c r="C299" s="150"/>
      <c r="J299" s="153"/>
      <c r="K299" s="154"/>
      <c r="Y299" s="152"/>
      <c r="AL299" s="152"/>
      <c r="AO299" s="149"/>
      <c r="AP299" s="149"/>
      <c r="AQ299" s="149"/>
      <c r="AR299" s="149"/>
      <c r="AS299" s="149"/>
      <c r="BG299" s="155"/>
      <c r="BH299" s="152"/>
      <c r="EF299" s="152"/>
    </row>
    <row r="300" spans="3:136" ht="13.8" x14ac:dyDescent="0.25">
      <c r="C300" s="150"/>
      <c r="J300" s="153"/>
      <c r="K300" s="154"/>
      <c r="Y300" s="152"/>
      <c r="AL300" s="152"/>
      <c r="AO300" s="149"/>
      <c r="AP300" s="149"/>
      <c r="AQ300" s="149"/>
      <c r="AR300" s="149"/>
      <c r="AS300" s="149"/>
      <c r="BG300" s="155"/>
      <c r="BH300" s="152"/>
      <c r="EF300" s="152"/>
    </row>
    <row r="301" spans="3:136" ht="13.8" x14ac:dyDescent="0.25">
      <c r="C301" s="150"/>
      <c r="J301" s="153"/>
      <c r="K301" s="154"/>
      <c r="Y301" s="152"/>
      <c r="AL301" s="152"/>
      <c r="AO301" s="149"/>
      <c r="AP301" s="149"/>
      <c r="AQ301" s="149"/>
      <c r="AR301" s="149"/>
      <c r="AS301" s="149"/>
      <c r="BG301" s="155"/>
      <c r="BH301" s="152"/>
      <c r="EF301" s="152"/>
    </row>
    <row r="302" spans="3:136" ht="13.8" x14ac:dyDescent="0.25">
      <c r="C302" s="150"/>
      <c r="J302" s="153"/>
      <c r="K302" s="154"/>
      <c r="Y302" s="152"/>
      <c r="AL302" s="152"/>
      <c r="AO302" s="149"/>
      <c r="AP302" s="149"/>
      <c r="AQ302" s="149"/>
      <c r="AR302" s="149"/>
      <c r="AS302" s="149"/>
      <c r="BG302" s="155"/>
      <c r="BH302" s="152"/>
      <c r="EF302" s="152"/>
    </row>
    <row r="303" spans="3:136" ht="13.8" x14ac:dyDescent="0.25">
      <c r="C303" s="150"/>
      <c r="J303" s="153"/>
      <c r="K303" s="154"/>
      <c r="Y303" s="152"/>
      <c r="AL303" s="152"/>
      <c r="AO303" s="149"/>
      <c r="AP303" s="149"/>
      <c r="AQ303" s="149"/>
      <c r="AR303" s="149"/>
      <c r="AS303" s="149"/>
      <c r="BG303" s="155"/>
      <c r="BH303" s="152"/>
      <c r="EF303" s="152"/>
    </row>
    <row r="304" spans="3:136" ht="13.8" x14ac:dyDescent="0.25">
      <c r="C304" s="150"/>
      <c r="J304" s="153"/>
      <c r="K304" s="154"/>
      <c r="Y304" s="152"/>
      <c r="AL304" s="152"/>
      <c r="AO304" s="149"/>
      <c r="AP304" s="149"/>
      <c r="AQ304" s="149"/>
      <c r="AR304" s="149"/>
      <c r="AS304" s="149"/>
      <c r="BG304" s="155"/>
      <c r="BH304" s="152"/>
      <c r="EF304" s="152"/>
    </row>
    <row r="305" spans="3:136" ht="13.8" x14ac:dyDescent="0.25">
      <c r="C305" s="150"/>
      <c r="J305" s="153"/>
      <c r="K305" s="154"/>
      <c r="Y305" s="152"/>
      <c r="AL305" s="152"/>
      <c r="AO305" s="149"/>
      <c r="AP305" s="149"/>
      <c r="AQ305" s="149"/>
      <c r="AR305" s="149"/>
      <c r="AS305" s="149"/>
      <c r="BG305" s="155"/>
      <c r="BH305" s="152"/>
      <c r="EF305" s="152"/>
    </row>
    <row r="306" spans="3:136" ht="13.8" x14ac:dyDescent="0.25">
      <c r="C306" s="150"/>
      <c r="J306" s="153"/>
      <c r="K306" s="154"/>
      <c r="Y306" s="152"/>
      <c r="AL306" s="152"/>
      <c r="AO306" s="149"/>
      <c r="AP306" s="149"/>
      <c r="AQ306" s="149"/>
      <c r="AR306" s="149"/>
      <c r="AS306" s="149"/>
      <c r="BG306" s="155"/>
      <c r="BH306" s="152"/>
      <c r="EF306" s="152"/>
    </row>
    <row r="307" spans="3:136" ht="13.8" x14ac:dyDescent="0.25">
      <c r="C307" s="150"/>
      <c r="J307" s="153"/>
      <c r="K307" s="154"/>
      <c r="Y307" s="152"/>
      <c r="AL307" s="152"/>
      <c r="AO307" s="149"/>
      <c r="AP307" s="149"/>
      <c r="AQ307" s="149"/>
      <c r="AR307" s="149"/>
      <c r="AS307" s="149"/>
      <c r="BG307" s="155"/>
      <c r="BH307" s="152"/>
      <c r="EF307" s="152"/>
    </row>
    <row r="308" spans="3:136" ht="13.8" x14ac:dyDescent="0.25">
      <c r="C308" s="150"/>
      <c r="J308" s="153"/>
      <c r="K308" s="154"/>
      <c r="Y308" s="152"/>
      <c r="AL308" s="152"/>
      <c r="AO308" s="149"/>
      <c r="AP308" s="149"/>
      <c r="AQ308" s="149"/>
      <c r="AR308" s="149"/>
      <c r="AS308" s="149"/>
      <c r="BG308" s="155"/>
      <c r="BH308" s="152"/>
      <c r="EF308" s="152"/>
    </row>
    <row r="309" spans="3:136" ht="13.8" x14ac:dyDescent="0.25">
      <c r="C309" s="150"/>
      <c r="J309" s="153"/>
      <c r="K309" s="154"/>
      <c r="Y309" s="152"/>
      <c r="AL309" s="152"/>
      <c r="AO309" s="149"/>
      <c r="AP309" s="149"/>
      <c r="AQ309" s="149"/>
      <c r="AR309" s="149"/>
      <c r="AS309" s="149"/>
      <c r="BG309" s="155"/>
      <c r="BH309" s="152"/>
      <c r="EF309" s="152"/>
    </row>
    <row r="310" spans="3:136" ht="13.8" x14ac:dyDescent="0.25">
      <c r="C310" s="150"/>
      <c r="J310" s="153"/>
      <c r="K310" s="154"/>
      <c r="Y310" s="152"/>
      <c r="AL310" s="152"/>
      <c r="AO310" s="149"/>
      <c r="AP310" s="149"/>
      <c r="AQ310" s="149"/>
      <c r="AR310" s="149"/>
      <c r="AS310" s="149"/>
      <c r="BG310" s="155"/>
      <c r="BH310" s="152"/>
      <c r="EF310" s="152"/>
    </row>
    <row r="311" spans="3:136" ht="13.8" x14ac:dyDescent="0.25">
      <c r="C311" s="150"/>
      <c r="J311" s="153"/>
      <c r="K311" s="154"/>
      <c r="Y311" s="152"/>
      <c r="AL311" s="152"/>
      <c r="AO311" s="149"/>
      <c r="AP311" s="149"/>
      <c r="AQ311" s="149"/>
      <c r="AR311" s="149"/>
      <c r="AS311" s="149"/>
      <c r="BG311" s="155"/>
      <c r="BH311" s="152"/>
      <c r="EF311" s="152"/>
    </row>
    <row r="312" spans="3:136" ht="13.8" x14ac:dyDescent="0.25">
      <c r="C312" s="150"/>
      <c r="J312" s="153"/>
      <c r="K312" s="154"/>
      <c r="Y312" s="152"/>
      <c r="AL312" s="152"/>
      <c r="AO312" s="149"/>
      <c r="AP312" s="149"/>
      <c r="AQ312" s="149"/>
      <c r="AR312" s="149"/>
      <c r="AS312" s="149"/>
      <c r="BG312" s="155"/>
      <c r="BH312" s="152"/>
      <c r="EF312" s="152"/>
    </row>
    <row r="313" spans="3:136" ht="13.8" x14ac:dyDescent="0.25">
      <c r="C313" s="150"/>
      <c r="J313" s="153"/>
      <c r="K313" s="154"/>
      <c r="Y313" s="152"/>
      <c r="AL313" s="152"/>
      <c r="AO313" s="149"/>
      <c r="AP313" s="149"/>
      <c r="AQ313" s="149"/>
      <c r="AR313" s="149"/>
      <c r="AS313" s="149"/>
      <c r="BG313" s="155"/>
      <c r="BH313" s="152"/>
      <c r="EF313" s="152"/>
    </row>
    <row r="314" spans="3:136" ht="13.8" x14ac:dyDescent="0.25">
      <c r="C314" s="150"/>
      <c r="J314" s="153"/>
      <c r="K314" s="154"/>
      <c r="Y314" s="152"/>
      <c r="AL314" s="152"/>
      <c r="AO314" s="149"/>
      <c r="AP314" s="149"/>
      <c r="AQ314" s="149"/>
      <c r="AR314" s="149"/>
      <c r="AS314" s="149"/>
      <c r="BG314" s="155"/>
      <c r="BH314" s="152"/>
      <c r="EF314" s="152"/>
    </row>
    <row r="315" spans="3:136" ht="13.8" x14ac:dyDescent="0.25">
      <c r="C315" s="150"/>
      <c r="J315" s="153"/>
      <c r="K315" s="154"/>
      <c r="Y315" s="152"/>
      <c r="AL315" s="152"/>
      <c r="AO315" s="149"/>
      <c r="AP315" s="149"/>
      <c r="AQ315" s="149"/>
      <c r="AR315" s="149"/>
      <c r="AS315" s="149"/>
      <c r="BG315" s="155"/>
      <c r="BH315" s="152"/>
      <c r="EF315" s="152"/>
    </row>
    <row r="316" spans="3:136" ht="13.8" x14ac:dyDescent="0.25">
      <c r="C316" s="150"/>
      <c r="J316" s="153"/>
      <c r="K316" s="154"/>
      <c r="Y316" s="152"/>
      <c r="AL316" s="152"/>
      <c r="AO316" s="149"/>
      <c r="AP316" s="149"/>
      <c r="AQ316" s="149"/>
      <c r="AR316" s="149"/>
      <c r="AS316" s="149"/>
      <c r="BG316" s="155"/>
      <c r="BH316" s="152"/>
      <c r="EF316" s="152"/>
    </row>
    <row r="317" spans="3:136" ht="13.8" x14ac:dyDescent="0.25">
      <c r="C317" s="150"/>
      <c r="J317" s="153"/>
      <c r="K317" s="154"/>
      <c r="Y317" s="152"/>
      <c r="AL317" s="152"/>
      <c r="AO317" s="149"/>
      <c r="AP317" s="149"/>
      <c r="AQ317" s="149"/>
      <c r="AR317" s="149"/>
      <c r="AS317" s="149"/>
      <c r="BG317" s="155"/>
      <c r="BH317" s="152"/>
      <c r="EF317" s="152"/>
    </row>
    <row r="318" spans="3:136" ht="13.8" x14ac:dyDescent="0.25">
      <c r="C318" s="150"/>
      <c r="J318" s="153"/>
      <c r="K318" s="154"/>
      <c r="Y318" s="152"/>
      <c r="AL318" s="152"/>
      <c r="AO318" s="149"/>
      <c r="AP318" s="149"/>
      <c r="AQ318" s="149"/>
      <c r="AR318" s="149"/>
      <c r="AS318" s="149"/>
      <c r="BG318" s="155"/>
      <c r="BH318" s="152"/>
      <c r="EF318" s="152"/>
    </row>
    <row r="319" spans="3:136" ht="13.8" x14ac:dyDescent="0.25">
      <c r="C319" s="150"/>
      <c r="J319" s="153"/>
      <c r="K319" s="154"/>
      <c r="Y319" s="152"/>
      <c r="AL319" s="152"/>
      <c r="AO319" s="149"/>
      <c r="AP319" s="149"/>
      <c r="AQ319" s="149"/>
      <c r="AR319" s="149"/>
      <c r="AS319" s="149"/>
      <c r="BG319" s="155"/>
      <c r="BH319" s="152"/>
      <c r="EF319" s="152"/>
    </row>
    <row r="320" spans="3:136" ht="13.8" x14ac:dyDescent="0.25">
      <c r="C320" s="150"/>
      <c r="J320" s="153"/>
      <c r="K320" s="154"/>
      <c r="Y320" s="152"/>
      <c r="AL320" s="152"/>
      <c r="AO320" s="149"/>
      <c r="AP320" s="149"/>
      <c r="AQ320" s="149"/>
      <c r="AR320" s="149"/>
      <c r="AS320" s="149"/>
      <c r="BG320" s="155"/>
      <c r="BH320" s="152"/>
      <c r="EF320" s="152"/>
    </row>
    <row r="321" spans="3:136" ht="13.8" x14ac:dyDescent="0.25">
      <c r="C321" s="150"/>
      <c r="J321" s="153"/>
      <c r="K321" s="154"/>
      <c r="Y321" s="152"/>
      <c r="AL321" s="152"/>
      <c r="AO321" s="149"/>
      <c r="AP321" s="149"/>
      <c r="AQ321" s="149"/>
      <c r="AR321" s="149"/>
      <c r="AS321" s="149"/>
      <c r="BG321" s="155"/>
      <c r="BH321" s="152"/>
      <c r="EF321" s="152"/>
    </row>
    <row r="322" spans="3:136" ht="13.8" x14ac:dyDescent="0.25">
      <c r="C322" s="150"/>
      <c r="J322" s="153"/>
      <c r="K322" s="154"/>
      <c r="Y322" s="152"/>
      <c r="AL322" s="152"/>
      <c r="AO322" s="149"/>
      <c r="AP322" s="149"/>
      <c r="AQ322" s="149"/>
      <c r="AR322" s="149"/>
      <c r="AS322" s="149"/>
      <c r="BG322" s="155"/>
      <c r="BH322" s="152"/>
      <c r="EF322" s="152"/>
    </row>
    <row r="323" spans="3:136" ht="13.8" x14ac:dyDescent="0.25">
      <c r="C323" s="150"/>
      <c r="J323" s="153"/>
      <c r="K323" s="154"/>
      <c r="Y323" s="152"/>
      <c r="AL323" s="152"/>
      <c r="AO323" s="149"/>
      <c r="AP323" s="149"/>
      <c r="AQ323" s="149"/>
      <c r="AR323" s="149"/>
      <c r="AS323" s="149"/>
      <c r="BG323" s="155"/>
      <c r="BH323" s="152"/>
      <c r="EF323" s="152"/>
    </row>
    <row r="324" spans="3:136" ht="13.8" x14ac:dyDescent="0.25">
      <c r="C324" s="150"/>
      <c r="J324" s="153"/>
      <c r="K324" s="154"/>
      <c r="Y324" s="152"/>
      <c r="AL324" s="152"/>
      <c r="AO324" s="149"/>
      <c r="AP324" s="149"/>
      <c r="AQ324" s="149"/>
      <c r="AR324" s="149"/>
      <c r="AS324" s="149"/>
      <c r="BG324" s="155"/>
      <c r="BH324" s="152"/>
      <c r="EF324" s="152"/>
    </row>
    <row r="325" spans="3:136" ht="13.8" x14ac:dyDescent="0.25">
      <c r="C325" s="150"/>
      <c r="J325" s="153"/>
      <c r="K325" s="154"/>
      <c r="Y325" s="152"/>
      <c r="AL325" s="152"/>
      <c r="AO325" s="149"/>
      <c r="AP325" s="149"/>
      <c r="AQ325" s="149"/>
      <c r="AR325" s="149"/>
      <c r="AS325" s="149"/>
      <c r="BG325" s="155"/>
      <c r="BH325" s="152"/>
      <c r="EF325" s="152"/>
    </row>
    <row r="326" spans="3:136" ht="13.8" x14ac:dyDescent="0.25">
      <c r="C326" s="150"/>
      <c r="J326" s="153"/>
      <c r="K326" s="154"/>
      <c r="Y326" s="152"/>
      <c r="AL326" s="152"/>
      <c r="AO326" s="149"/>
      <c r="AP326" s="149"/>
      <c r="AQ326" s="149"/>
      <c r="AR326" s="149"/>
      <c r="AS326" s="149"/>
      <c r="BG326" s="155"/>
      <c r="BH326" s="152"/>
      <c r="EF326" s="152"/>
    </row>
    <row r="327" spans="3:136" ht="13.8" x14ac:dyDescent="0.25">
      <c r="C327" s="150"/>
      <c r="J327" s="153"/>
      <c r="K327" s="154"/>
      <c r="Y327" s="152"/>
      <c r="AL327" s="152"/>
      <c r="AO327" s="149"/>
      <c r="AP327" s="149"/>
      <c r="AQ327" s="149"/>
      <c r="AR327" s="149"/>
      <c r="AS327" s="149"/>
      <c r="BG327" s="155"/>
      <c r="BH327" s="152"/>
      <c r="EF327" s="152"/>
    </row>
    <row r="328" spans="3:136" ht="13.8" x14ac:dyDescent="0.25">
      <c r="C328" s="150"/>
      <c r="J328" s="153"/>
      <c r="K328" s="154"/>
      <c r="Y328" s="152"/>
      <c r="AL328" s="152"/>
      <c r="AO328" s="149"/>
      <c r="AP328" s="149"/>
      <c r="AQ328" s="149"/>
      <c r="AR328" s="149"/>
      <c r="AS328" s="149"/>
      <c r="BG328" s="155"/>
      <c r="BH328" s="152"/>
      <c r="EF328" s="152"/>
    </row>
    <row r="329" spans="3:136" ht="13.8" x14ac:dyDescent="0.25">
      <c r="C329" s="150"/>
      <c r="J329" s="153"/>
      <c r="K329" s="154"/>
      <c r="Y329" s="152"/>
      <c r="AL329" s="152"/>
      <c r="AO329" s="149"/>
      <c r="AP329" s="149"/>
      <c r="AQ329" s="149"/>
      <c r="AR329" s="149"/>
      <c r="AS329" s="149"/>
      <c r="BG329" s="155"/>
      <c r="BH329" s="152"/>
      <c r="EF329" s="152"/>
    </row>
    <row r="330" spans="3:136" ht="13.8" x14ac:dyDescent="0.25">
      <c r="C330" s="150"/>
      <c r="J330" s="153"/>
      <c r="K330" s="154"/>
      <c r="Y330" s="152"/>
      <c r="AL330" s="152"/>
      <c r="AO330" s="149"/>
      <c r="AP330" s="149"/>
      <c r="AQ330" s="149"/>
      <c r="AR330" s="149"/>
      <c r="AS330" s="149"/>
      <c r="BG330" s="155"/>
      <c r="BH330" s="152"/>
      <c r="EF330" s="152"/>
    </row>
    <row r="331" spans="3:136" ht="13.8" x14ac:dyDescent="0.25">
      <c r="C331" s="150"/>
      <c r="J331" s="153"/>
      <c r="K331" s="154"/>
      <c r="Y331" s="152"/>
      <c r="AL331" s="152"/>
      <c r="AO331" s="149"/>
      <c r="AP331" s="149"/>
      <c r="AQ331" s="149"/>
      <c r="AR331" s="149"/>
      <c r="AS331" s="149"/>
      <c r="BG331" s="155"/>
      <c r="BH331" s="152"/>
      <c r="EF331" s="152"/>
    </row>
    <row r="332" spans="3:136" ht="13.8" x14ac:dyDescent="0.25">
      <c r="C332" s="150"/>
      <c r="J332" s="153"/>
      <c r="K332" s="154"/>
      <c r="Y332" s="152"/>
      <c r="AL332" s="152"/>
      <c r="AO332" s="149"/>
      <c r="AP332" s="149"/>
      <c r="AQ332" s="149"/>
      <c r="AR332" s="149"/>
      <c r="AS332" s="149"/>
      <c r="BG332" s="155"/>
      <c r="BH332" s="152"/>
      <c r="EF332" s="152"/>
    </row>
    <row r="333" spans="3:136" ht="13.8" x14ac:dyDescent="0.25">
      <c r="C333" s="150"/>
      <c r="J333" s="153"/>
      <c r="K333" s="154"/>
      <c r="Y333" s="152"/>
      <c r="AL333" s="152"/>
      <c r="AO333" s="149"/>
      <c r="AP333" s="149"/>
      <c r="AQ333" s="149"/>
      <c r="AR333" s="149"/>
      <c r="AS333" s="149"/>
      <c r="BG333" s="155"/>
      <c r="BH333" s="152"/>
      <c r="EF333" s="152"/>
    </row>
    <row r="334" spans="3:136" ht="13.8" x14ac:dyDescent="0.25">
      <c r="C334" s="150"/>
      <c r="J334" s="153"/>
      <c r="K334" s="154"/>
      <c r="Y334" s="152"/>
      <c r="AL334" s="152"/>
      <c r="AO334" s="149"/>
      <c r="AP334" s="149"/>
      <c r="AQ334" s="149"/>
      <c r="AR334" s="149"/>
      <c r="AS334" s="149"/>
      <c r="BG334" s="155"/>
      <c r="BH334" s="152"/>
      <c r="EF334" s="152"/>
    </row>
    <row r="335" spans="3:136" ht="13.8" x14ac:dyDescent="0.25">
      <c r="C335" s="150"/>
      <c r="J335" s="153"/>
      <c r="K335" s="154"/>
      <c r="Y335" s="152"/>
      <c r="AL335" s="152"/>
      <c r="AO335" s="149"/>
      <c r="AP335" s="149"/>
      <c r="AQ335" s="149"/>
      <c r="AR335" s="149"/>
      <c r="AS335" s="149"/>
      <c r="BG335" s="155"/>
      <c r="BH335" s="152"/>
      <c r="EF335" s="152"/>
    </row>
    <row r="336" spans="3:136" ht="13.8" x14ac:dyDescent="0.25">
      <c r="C336" s="150"/>
      <c r="J336" s="153"/>
      <c r="K336" s="154"/>
      <c r="Y336" s="152"/>
      <c r="AL336" s="152"/>
      <c r="AO336" s="149"/>
      <c r="AP336" s="149"/>
      <c r="AQ336" s="149"/>
      <c r="AR336" s="149"/>
      <c r="AS336" s="149"/>
      <c r="BG336" s="155"/>
      <c r="BH336" s="152"/>
      <c r="EF336" s="152"/>
    </row>
    <row r="337" spans="3:136" ht="13.8" x14ac:dyDescent="0.25">
      <c r="C337" s="150"/>
      <c r="J337" s="153"/>
      <c r="K337" s="154"/>
      <c r="Y337" s="152"/>
      <c r="AL337" s="152"/>
      <c r="AO337" s="149"/>
      <c r="AP337" s="149"/>
      <c r="AQ337" s="149"/>
      <c r="AR337" s="149"/>
      <c r="AS337" s="149"/>
      <c r="BG337" s="155"/>
      <c r="BH337" s="152"/>
      <c r="EF337" s="152"/>
    </row>
    <row r="338" spans="3:136" ht="13.8" x14ac:dyDescent="0.25">
      <c r="C338" s="150"/>
      <c r="J338" s="153"/>
      <c r="K338" s="154"/>
      <c r="Y338" s="152"/>
      <c r="AL338" s="152"/>
      <c r="AO338" s="149"/>
      <c r="AP338" s="149"/>
      <c r="AQ338" s="149"/>
      <c r="AR338" s="149"/>
      <c r="AS338" s="149"/>
      <c r="BG338" s="155"/>
      <c r="BH338" s="152"/>
      <c r="EF338" s="152"/>
    </row>
    <row r="339" spans="3:136" ht="13.8" x14ac:dyDescent="0.25">
      <c r="C339" s="150"/>
      <c r="J339" s="153"/>
      <c r="K339" s="154"/>
      <c r="Y339" s="152"/>
      <c r="AL339" s="152"/>
      <c r="AO339" s="149"/>
      <c r="AP339" s="149"/>
      <c r="AQ339" s="149"/>
      <c r="AR339" s="149"/>
      <c r="AS339" s="149"/>
      <c r="BG339" s="155"/>
      <c r="BH339" s="152"/>
      <c r="EF339" s="152"/>
    </row>
    <row r="340" spans="3:136" ht="13.8" x14ac:dyDescent="0.25">
      <c r="C340" s="150"/>
      <c r="J340" s="153"/>
      <c r="K340" s="154"/>
      <c r="Y340" s="152"/>
      <c r="AL340" s="152"/>
      <c r="AO340" s="149"/>
      <c r="AP340" s="149"/>
      <c r="AQ340" s="149"/>
      <c r="AR340" s="149"/>
      <c r="AS340" s="149"/>
      <c r="BG340" s="155"/>
      <c r="BH340" s="152"/>
      <c r="EF340" s="152"/>
    </row>
    <row r="341" spans="3:136" ht="13.8" x14ac:dyDescent="0.25">
      <c r="C341" s="150"/>
      <c r="J341" s="153"/>
      <c r="K341" s="154"/>
      <c r="Y341" s="152"/>
      <c r="AL341" s="152"/>
      <c r="AO341" s="149"/>
      <c r="AP341" s="149"/>
      <c r="AQ341" s="149"/>
      <c r="AR341" s="149"/>
      <c r="AS341" s="149"/>
      <c r="BG341" s="155"/>
      <c r="BH341" s="152"/>
      <c r="EF341" s="152"/>
    </row>
    <row r="342" spans="3:136" ht="13.8" x14ac:dyDescent="0.25">
      <c r="C342" s="150"/>
      <c r="J342" s="153"/>
      <c r="K342" s="154"/>
      <c r="Y342" s="152"/>
      <c r="AL342" s="152"/>
      <c r="AO342" s="149"/>
      <c r="AP342" s="149"/>
      <c r="AQ342" s="149"/>
      <c r="AR342" s="149"/>
      <c r="AS342" s="149"/>
      <c r="BG342" s="155"/>
      <c r="BH342" s="152"/>
      <c r="EF342" s="152"/>
    </row>
    <row r="343" spans="3:136" ht="13.8" x14ac:dyDescent="0.25">
      <c r="C343" s="150"/>
      <c r="J343" s="153"/>
      <c r="K343" s="154"/>
      <c r="Y343" s="152"/>
      <c r="AL343" s="152"/>
      <c r="AO343" s="149"/>
      <c r="AP343" s="149"/>
      <c r="AQ343" s="149"/>
      <c r="AR343" s="149"/>
      <c r="AS343" s="149"/>
      <c r="BG343" s="155"/>
      <c r="BH343" s="152"/>
      <c r="EF343" s="152"/>
    </row>
    <row r="344" spans="3:136" ht="13.8" x14ac:dyDescent="0.25">
      <c r="C344" s="150"/>
      <c r="J344" s="153"/>
      <c r="K344" s="154"/>
      <c r="Y344" s="152"/>
      <c r="AL344" s="152"/>
      <c r="AO344" s="149"/>
      <c r="AP344" s="149"/>
      <c r="AQ344" s="149"/>
      <c r="AR344" s="149"/>
      <c r="AS344" s="149"/>
      <c r="BG344" s="155"/>
      <c r="BH344" s="152"/>
      <c r="EF344" s="152"/>
    </row>
    <row r="345" spans="3:136" ht="13.8" x14ac:dyDescent="0.25">
      <c r="C345" s="150"/>
      <c r="J345" s="153"/>
      <c r="K345" s="154"/>
      <c r="Y345" s="152"/>
      <c r="AL345" s="152"/>
      <c r="AO345" s="149"/>
      <c r="AP345" s="149"/>
      <c r="AQ345" s="149"/>
      <c r="AR345" s="149"/>
      <c r="AS345" s="149"/>
      <c r="BG345" s="155"/>
      <c r="BH345" s="152"/>
      <c r="EF345" s="152"/>
    </row>
    <row r="346" spans="3:136" ht="13.8" x14ac:dyDescent="0.25">
      <c r="C346" s="150"/>
      <c r="J346" s="153"/>
      <c r="K346" s="154"/>
      <c r="Y346" s="152"/>
      <c r="AL346" s="152"/>
      <c r="AO346" s="149"/>
      <c r="AP346" s="149"/>
      <c r="AQ346" s="149"/>
      <c r="AR346" s="149"/>
      <c r="AS346" s="149"/>
      <c r="BG346" s="155"/>
      <c r="BH346" s="152"/>
      <c r="EF346" s="152"/>
    </row>
    <row r="347" spans="3:136" ht="13.8" x14ac:dyDescent="0.25">
      <c r="C347" s="150"/>
      <c r="J347" s="153"/>
      <c r="K347" s="154"/>
      <c r="Y347" s="152"/>
      <c r="AL347" s="152"/>
      <c r="AO347" s="149"/>
      <c r="AP347" s="149"/>
      <c r="AQ347" s="149"/>
      <c r="AR347" s="149"/>
      <c r="AS347" s="149"/>
      <c r="BG347" s="155"/>
      <c r="BH347" s="152"/>
      <c r="EF347" s="152"/>
    </row>
    <row r="348" spans="3:136" ht="13.8" x14ac:dyDescent="0.25">
      <c r="C348" s="150"/>
      <c r="J348" s="153"/>
      <c r="K348" s="154"/>
      <c r="Y348" s="152"/>
      <c r="AL348" s="152"/>
      <c r="AO348" s="149"/>
      <c r="AP348" s="149"/>
      <c r="AQ348" s="149"/>
      <c r="AR348" s="149"/>
      <c r="AS348" s="149"/>
      <c r="BG348" s="155"/>
      <c r="BH348" s="152"/>
      <c r="EF348" s="152"/>
    </row>
    <row r="349" spans="3:136" ht="13.8" x14ac:dyDescent="0.25">
      <c r="C349" s="150"/>
      <c r="J349" s="153"/>
      <c r="K349" s="154"/>
      <c r="Y349" s="152"/>
      <c r="AL349" s="152"/>
      <c r="AO349" s="149"/>
      <c r="AP349" s="149"/>
      <c r="AQ349" s="149"/>
      <c r="AR349" s="149"/>
      <c r="AS349" s="149"/>
      <c r="BG349" s="155"/>
      <c r="BH349" s="152"/>
      <c r="EF349" s="152"/>
    </row>
    <row r="350" spans="3:136" ht="13.8" x14ac:dyDescent="0.25">
      <c r="C350" s="150"/>
      <c r="J350" s="153"/>
      <c r="K350" s="154"/>
      <c r="Y350" s="152"/>
      <c r="AL350" s="152"/>
      <c r="AO350" s="149"/>
      <c r="AP350" s="149"/>
      <c r="AQ350" s="149"/>
      <c r="AR350" s="149"/>
      <c r="AS350" s="149"/>
      <c r="BG350" s="155"/>
      <c r="BH350" s="152"/>
      <c r="EF350" s="152"/>
    </row>
    <row r="351" spans="3:136" ht="13.8" x14ac:dyDescent="0.25">
      <c r="C351" s="150"/>
      <c r="J351" s="153"/>
      <c r="K351" s="154"/>
      <c r="Y351" s="152"/>
      <c r="AL351" s="152"/>
      <c r="AO351" s="149"/>
      <c r="AP351" s="149"/>
      <c r="AQ351" s="149"/>
      <c r="AR351" s="149"/>
      <c r="AS351" s="149"/>
      <c r="BG351" s="155"/>
      <c r="BH351" s="152"/>
      <c r="EF351" s="152"/>
    </row>
    <row r="352" spans="3:136" ht="13.8" x14ac:dyDescent="0.25">
      <c r="C352" s="150"/>
      <c r="J352" s="153"/>
      <c r="K352" s="154"/>
      <c r="Y352" s="152"/>
      <c r="AL352" s="152"/>
      <c r="AO352" s="149"/>
      <c r="AP352" s="149"/>
      <c r="AQ352" s="149"/>
      <c r="AR352" s="149"/>
      <c r="AS352" s="149"/>
      <c r="BG352" s="155"/>
      <c r="BH352" s="152"/>
      <c r="EF352" s="152"/>
    </row>
    <row r="353" spans="3:136" ht="13.8" x14ac:dyDescent="0.25">
      <c r="C353" s="150"/>
      <c r="J353" s="153"/>
      <c r="K353" s="154"/>
      <c r="Y353" s="152"/>
      <c r="AL353" s="152"/>
      <c r="AO353" s="149"/>
      <c r="AP353" s="149"/>
      <c r="AQ353" s="149"/>
      <c r="AR353" s="149"/>
      <c r="AS353" s="149"/>
      <c r="BG353" s="155"/>
      <c r="BH353" s="152"/>
      <c r="EF353" s="152"/>
    </row>
    <row r="354" spans="3:136" ht="13.8" x14ac:dyDescent="0.25">
      <c r="C354" s="150"/>
      <c r="J354" s="153"/>
      <c r="K354" s="154"/>
      <c r="Y354" s="152"/>
      <c r="AL354" s="152"/>
      <c r="AO354" s="149"/>
      <c r="AP354" s="149"/>
      <c r="AQ354" s="149"/>
      <c r="AR354" s="149"/>
      <c r="AS354" s="149"/>
      <c r="BG354" s="155"/>
      <c r="BH354" s="152"/>
      <c r="EF354" s="152"/>
    </row>
    <row r="355" spans="3:136" ht="13.8" x14ac:dyDescent="0.25">
      <c r="C355" s="150"/>
      <c r="J355" s="153"/>
      <c r="K355" s="154"/>
      <c r="Y355" s="152"/>
      <c r="AL355" s="152"/>
      <c r="AO355" s="149"/>
      <c r="AP355" s="149"/>
      <c r="AQ355" s="149"/>
      <c r="AR355" s="149"/>
      <c r="AS355" s="149"/>
      <c r="BG355" s="155"/>
      <c r="BH355" s="152"/>
      <c r="EF355" s="152"/>
    </row>
    <row r="356" spans="3:136" ht="13.8" x14ac:dyDescent="0.25">
      <c r="C356" s="150"/>
      <c r="J356" s="153"/>
      <c r="K356" s="154"/>
      <c r="Y356" s="152"/>
      <c r="AL356" s="152"/>
      <c r="AO356" s="149"/>
      <c r="AP356" s="149"/>
      <c r="AQ356" s="149"/>
      <c r="AR356" s="149"/>
      <c r="AS356" s="149"/>
      <c r="BG356" s="155"/>
      <c r="BH356" s="152"/>
      <c r="EF356" s="152"/>
    </row>
    <row r="357" spans="3:136" ht="13.8" x14ac:dyDescent="0.25">
      <c r="C357" s="150"/>
      <c r="J357" s="153"/>
      <c r="K357" s="154"/>
      <c r="Y357" s="152"/>
      <c r="AL357" s="152"/>
      <c r="AO357" s="149"/>
      <c r="AP357" s="149"/>
      <c r="AQ357" s="149"/>
      <c r="AR357" s="149"/>
      <c r="AS357" s="149"/>
      <c r="BG357" s="155"/>
      <c r="BH357" s="152"/>
      <c r="EF357" s="152"/>
    </row>
    <row r="358" spans="3:136" ht="13.8" x14ac:dyDescent="0.25">
      <c r="C358" s="150"/>
      <c r="J358" s="153"/>
      <c r="K358" s="154"/>
      <c r="Y358" s="152"/>
      <c r="AL358" s="152"/>
      <c r="AO358" s="149"/>
      <c r="AP358" s="149"/>
      <c r="AQ358" s="149"/>
      <c r="AR358" s="149"/>
      <c r="AS358" s="149"/>
      <c r="BG358" s="155"/>
      <c r="BH358" s="152"/>
      <c r="EF358" s="152"/>
    </row>
    <row r="359" spans="3:136" ht="13.8" x14ac:dyDescent="0.25">
      <c r="C359" s="150"/>
      <c r="J359" s="153"/>
      <c r="K359" s="154"/>
      <c r="Y359" s="152"/>
      <c r="AL359" s="152"/>
      <c r="AO359" s="149"/>
      <c r="AP359" s="149"/>
      <c r="AQ359" s="149"/>
      <c r="AR359" s="149"/>
      <c r="AS359" s="149"/>
      <c r="BG359" s="155"/>
      <c r="BH359" s="152"/>
      <c r="EF359" s="152"/>
    </row>
    <row r="360" spans="3:136" ht="13.8" x14ac:dyDescent="0.25">
      <c r="C360" s="150"/>
      <c r="J360" s="153"/>
      <c r="K360" s="154"/>
      <c r="Y360" s="152"/>
      <c r="AL360" s="152"/>
      <c r="AO360" s="149"/>
      <c r="AP360" s="149"/>
      <c r="AQ360" s="149"/>
      <c r="AR360" s="149"/>
      <c r="AS360" s="149"/>
      <c r="BG360" s="155"/>
      <c r="BH360" s="152"/>
      <c r="EF360" s="152"/>
    </row>
    <row r="361" spans="3:136" ht="13.8" x14ac:dyDescent="0.25">
      <c r="C361" s="150"/>
      <c r="J361" s="153"/>
      <c r="K361" s="154"/>
      <c r="Y361" s="152"/>
      <c r="AL361" s="152"/>
      <c r="AO361" s="149"/>
      <c r="AP361" s="149"/>
      <c r="AQ361" s="149"/>
      <c r="AR361" s="149"/>
      <c r="AS361" s="149"/>
      <c r="BG361" s="155"/>
      <c r="BH361" s="152"/>
      <c r="EF361" s="152"/>
    </row>
    <row r="362" spans="3:136" ht="13.8" x14ac:dyDescent="0.25">
      <c r="C362" s="150"/>
      <c r="J362" s="153"/>
      <c r="K362" s="154"/>
      <c r="Y362" s="152"/>
      <c r="AL362" s="152"/>
      <c r="AO362" s="149"/>
      <c r="AP362" s="149"/>
      <c r="AQ362" s="149"/>
      <c r="AR362" s="149"/>
      <c r="AS362" s="149"/>
      <c r="BG362" s="155"/>
      <c r="BH362" s="152"/>
      <c r="EF362" s="152"/>
    </row>
    <row r="363" spans="3:136" ht="13.8" x14ac:dyDescent="0.25">
      <c r="C363" s="150"/>
      <c r="J363" s="153"/>
      <c r="K363" s="154"/>
      <c r="Y363" s="152"/>
      <c r="AL363" s="152"/>
      <c r="AO363" s="149"/>
      <c r="AP363" s="149"/>
      <c r="AQ363" s="149"/>
      <c r="AR363" s="149"/>
      <c r="AS363" s="149"/>
      <c r="BG363" s="155"/>
      <c r="BH363" s="152"/>
      <c r="EF363" s="152"/>
    </row>
    <row r="364" spans="3:136" ht="13.8" x14ac:dyDescent="0.25">
      <c r="C364" s="150"/>
      <c r="J364" s="153"/>
      <c r="K364" s="154"/>
      <c r="Y364" s="152"/>
      <c r="AL364" s="152"/>
      <c r="AO364" s="149"/>
      <c r="AP364" s="149"/>
      <c r="AQ364" s="149"/>
      <c r="AR364" s="149"/>
      <c r="AS364" s="149"/>
      <c r="BG364" s="155"/>
      <c r="BH364" s="152"/>
      <c r="EF364" s="152"/>
    </row>
    <row r="365" spans="3:136" ht="13.8" x14ac:dyDescent="0.25">
      <c r="C365" s="150"/>
      <c r="J365" s="153"/>
      <c r="K365" s="154"/>
      <c r="Y365" s="152"/>
      <c r="AL365" s="152"/>
      <c r="AO365" s="149"/>
      <c r="AP365" s="149"/>
      <c r="AQ365" s="149"/>
      <c r="AR365" s="149"/>
      <c r="AS365" s="149"/>
      <c r="BG365" s="155"/>
      <c r="BH365" s="152"/>
      <c r="EF365" s="152"/>
    </row>
    <row r="366" spans="3:136" ht="13.8" x14ac:dyDescent="0.25">
      <c r="C366" s="150"/>
      <c r="J366" s="153"/>
      <c r="K366" s="154"/>
      <c r="Y366" s="152"/>
      <c r="AL366" s="152"/>
      <c r="AO366" s="149"/>
      <c r="AP366" s="149"/>
      <c r="AQ366" s="149"/>
      <c r="AR366" s="149"/>
      <c r="AS366" s="149"/>
      <c r="BG366" s="155"/>
      <c r="BH366" s="152"/>
      <c r="EF366" s="152"/>
    </row>
    <row r="367" spans="3:136" ht="13.8" x14ac:dyDescent="0.25">
      <c r="C367" s="150"/>
      <c r="J367" s="153"/>
      <c r="K367" s="154"/>
      <c r="Y367" s="152"/>
      <c r="AL367" s="152"/>
      <c r="AO367" s="149"/>
      <c r="AP367" s="149"/>
      <c r="AQ367" s="149"/>
      <c r="AR367" s="149"/>
      <c r="AS367" s="149"/>
      <c r="BG367" s="155"/>
      <c r="BH367" s="152"/>
      <c r="EF367" s="152"/>
    </row>
    <row r="368" spans="3:136" ht="13.8" x14ac:dyDescent="0.25">
      <c r="C368" s="150"/>
      <c r="J368" s="153"/>
      <c r="K368" s="154"/>
      <c r="Y368" s="152"/>
      <c r="AL368" s="152"/>
      <c r="AO368" s="149"/>
      <c r="AP368" s="149"/>
      <c r="AQ368" s="149"/>
      <c r="AR368" s="149"/>
      <c r="AS368" s="149"/>
      <c r="BG368" s="155"/>
      <c r="BH368" s="152"/>
      <c r="EF368" s="152"/>
    </row>
    <row r="369" spans="3:136" ht="13.8" x14ac:dyDescent="0.25">
      <c r="C369" s="150"/>
      <c r="J369" s="153"/>
      <c r="K369" s="154"/>
      <c r="Y369" s="152"/>
      <c r="AL369" s="152"/>
      <c r="AO369" s="149"/>
      <c r="AP369" s="149"/>
      <c r="AQ369" s="149"/>
      <c r="AR369" s="149"/>
      <c r="AS369" s="149"/>
      <c r="BG369" s="155"/>
      <c r="BH369" s="152"/>
      <c r="EF369" s="152"/>
    </row>
    <row r="370" spans="3:136" ht="13.8" x14ac:dyDescent="0.25">
      <c r="C370" s="150"/>
      <c r="J370" s="153"/>
      <c r="K370" s="154"/>
      <c r="Y370" s="152"/>
      <c r="AL370" s="152"/>
      <c r="AO370" s="149"/>
      <c r="AP370" s="149"/>
      <c r="AQ370" s="149"/>
      <c r="AR370" s="149"/>
      <c r="AS370" s="149"/>
      <c r="BG370" s="155"/>
      <c r="BH370" s="152"/>
      <c r="EF370" s="152"/>
    </row>
    <row r="371" spans="3:136" ht="13.8" x14ac:dyDescent="0.25">
      <c r="C371" s="150"/>
      <c r="J371" s="153"/>
      <c r="K371" s="154"/>
      <c r="Y371" s="152"/>
      <c r="AL371" s="152"/>
      <c r="AO371" s="149"/>
      <c r="AP371" s="149"/>
      <c r="AQ371" s="149"/>
      <c r="AR371" s="149"/>
      <c r="AS371" s="149"/>
      <c r="BG371" s="155"/>
      <c r="BH371" s="152"/>
      <c r="EF371" s="152"/>
    </row>
    <row r="372" spans="3:136" ht="13.8" x14ac:dyDescent="0.25">
      <c r="C372" s="150"/>
      <c r="J372" s="153"/>
      <c r="K372" s="154"/>
      <c r="Y372" s="152"/>
      <c r="AL372" s="152"/>
      <c r="AO372" s="149"/>
      <c r="AP372" s="149"/>
      <c r="AQ372" s="149"/>
      <c r="AR372" s="149"/>
      <c r="AS372" s="149"/>
      <c r="BG372" s="155"/>
      <c r="BH372" s="152"/>
      <c r="EF372" s="152"/>
    </row>
    <row r="373" spans="3:136" ht="13.8" x14ac:dyDescent="0.25">
      <c r="C373" s="150"/>
      <c r="J373" s="153"/>
      <c r="K373" s="154"/>
      <c r="Y373" s="152"/>
      <c r="AL373" s="152"/>
      <c r="AO373" s="149"/>
      <c r="AP373" s="149"/>
      <c r="AQ373" s="149"/>
      <c r="AR373" s="149"/>
      <c r="AS373" s="149"/>
      <c r="BG373" s="155"/>
      <c r="BH373" s="152"/>
      <c r="EF373" s="152"/>
    </row>
    <row r="374" spans="3:136" ht="13.8" x14ac:dyDescent="0.25">
      <c r="C374" s="150"/>
      <c r="J374" s="153"/>
      <c r="K374" s="154"/>
      <c r="Y374" s="152"/>
      <c r="AL374" s="152"/>
      <c r="AO374" s="149"/>
      <c r="AP374" s="149"/>
      <c r="AQ374" s="149"/>
      <c r="AR374" s="149"/>
      <c r="AS374" s="149"/>
      <c r="BG374" s="155"/>
      <c r="BH374" s="152"/>
      <c r="EF374" s="152"/>
    </row>
    <row r="375" spans="3:136" ht="13.8" x14ac:dyDescent="0.25">
      <c r="C375" s="150"/>
      <c r="J375" s="153"/>
      <c r="K375" s="154"/>
      <c r="Y375" s="152"/>
      <c r="AL375" s="152"/>
      <c r="AO375" s="149"/>
      <c r="AP375" s="149"/>
      <c r="AQ375" s="149"/>
      <c r="AR375" s="149"/>
      <c r="AS375" s="149"/>
      <c r="BG375" s="155"/>
      <c r="BH375" s="152"/>
      <c r="EF375" s="152"/>
    </row>
    <row r="376" spans="3:136" ht="13.8" x14ac:dyDescent="0.25">
      <c r="C376" s="150"/>
      <c r="J376" s="153"/>
      <c r="K376" s="154"/>
      <c r="Y376" s="152"/>
      <c r="AL376" s="152"/>
      <c r="AO376" s="149"/>
      <c r="AP376" s="149"/>
      <c r="AQ376" s="149"/>
      <c r="AR376" s="149"/>
      <c r="AS376" s="149"/>
      <c r="BG376" s="155"/>
      <c r="BH376" s="152"/>
      <c r="EF376" s="152"/>
    </row>
    <row r="377" spans="3:136" ht="13.8" x14ac:dyDescent="0.25">
      <c r="C377" s="150"/>
      <c r="J377" s="153"/>
      <c r="K377" s="154"/>
      <c r="Y377" s="152"/>
      <c r="AL377" s="152"/>
      <c r="AO377" s="149"/>
      <c r="AP377" s="149"/>
      <c r="AQ377" s="149"/>
      <c r="AR377" s="149"/>
      <c r="AS377" s="149"/>
      <c r="BG377" s="155"/>
      <c r="BH377" s="152"/>
      <c r="EF377" s="152"/>
    </row>
    <row r="378" spans="3:136" ht="13.8" x14ac:dyDescent="0.25">
      <c r="C378" s="150"/>
      <c r="J378" s="153"/>
      <c r="K378" s="154"/>
      <c r="Y378" s="152"/>
      <c r="AL378" s="152"/>
      <c r="AO378" s="149"/>
      <c r="AP378" s="149"/>
      <c r="AQ378" s="149"/>
      <c r="AR378" s="149"/>
      <c r="AS378" s="149"/>
      <c r="BG378" s="155"/>
      <c r="BH378" s="152"/>
      <c r="EF378" s="152"/>
    </row>
    <row r="379" spans="3:136" ht="13.8" x14ac:dyDescent="0.25">
      <c r="C379" s="150"/>
      <c r="J379" s="153"/>
      <c r="K379" s="154"/>
      <c r="Y379" s="152"/>
      <c r="AL379" s="152"/>
      <c r="AO379" s="149"/>
      <c r="AP379" s="149"/>
      <c r="AQ379" s="149"/>
      <c r="AR379" s="149"/>
      <c r="AS379" s="149"/>
      <c r="BG379" s="155"/>
      <c r="BH379" s="152"/>
      <c r="EF379" s="152"/>
    </row>
    <row r="380" spans="3:136" ht="13.8" x14ac:dyDescent="0.25">
      <c r="C380" s="150"/>
      <c r="J380" s="153"/>
      <c r="K380" s="154"/>
      <c r="Y380" s="152"/>
      <c r="AL380" s="152"/>
      <c r="AO380" s="149"/>
      <c r="AP380" s="149"/>
      <c r="AQ380" s="149"/>
      <c r="AR380" s="149"/>
      <c r="AS380" s="149"/>
      <c r="BG380" s="155"/>
      <c r="BH380" s="152"/>
      <c r="EF380" s="152"/>
    </row>
    <row r="381" spans="3:136" ht="13.8" x14ac:dyDescent="0.25">
      <c r="C381" s="150"/>
      <c r="J381" s="153"/>
      <c r="K381" s="154"/>
      <c r="Y381" s="152"/>
      <c r="AL381" s="152"/>
      <c r="AO381" s="149"/>
      <c r="AP381" s="149"/>
      <c r="AQ381" s="149"/>
      <c r="AR381" s="149"/>
      <c r="AS381" s="149"/>
      <c r="BG381" s="155"/>
      <c r="BH381" s="152"/>
      <c r="EF381" s="152"/>
    </row>
    <row r="382" spans="3:136" ht="13.8" x14ac:dyDescent="0.25">
      <c r="C382" s="150"/>
      <c r="J382" s="153"/>
      <c r="K382" s="154"/>
      <c r="Y382" s="152"/>
      <c r="AL382" s="152"/>
      <c r="AO382" s="149"/>
      <c r="AP382" s="149"/>
      <c r="AQ382" s="149"/>
      <c r="AR382" s="149"/>
      <c r="AS382" s="149"/>
      <c r="BG382" s="155"/>
      <c r="BH382" s="152"/>
      <c r="EF382" s="152"/>
    </row>
    <row r="383" spans="3:136" ht="13.8" x14ac:dyDescent="0.25">
      <c r="C383" s="150"/>
      <c r="J383" s="153"/>
      <c r="K383" s="154"/>
      <c r="Y383" s="152"/>
      <c r="AL383" s="152"/>
      <c r="AO383" s="149"/>
      <c r="AP383" s="149"/>
      <c r="AQ383" s="149"/>
      <c r="AR383" s="149"/>
      <c r="AS383" s="149"/>
      <c r="BG383" s="155"/>
      <c r="BH383" s="152"/>
      <c r="EF383" s="152"/>
    </row>
    <row r="384" spans="3:136" ht="13.8" x14ac:dyDescent="0.25">
      <c r="C384" s="150"/>
      <c r="J384" s="153"/>
      <c r="K384" s="154"/>
      <c r="Y384" s="152"/>
      <c r="AL384" s="152"/>
      <c r="AO384" s="149"/>
      <c r="AP384" s="149"/>
      <c r="AQ384" s="149"/>
      <c r="AR384" s="149"/>
      <c r="AS384" s="149"/>
      <c r="BG384" s="155"/>
      <c r="BH384" s="152"/>
      <c r="EF384" s="152"/>
    </row>
    <row r="385" spans="3:136" ht="13.8" x14ac:dyDescent="0.25">
      <c r="C385" s="150"/>
      <c r="J385" s="153"/>
      <c r="K385" s="154"/>
      <c r="Y385" s="152"/>
      <c r="AL385" s="152"/>
      <c r="AO385" s="149"/>
      <c r="AP385" s="149"/>
      <c r="AQ385" s="149"/>
      <c r="AR385" s="149"/>
      <c r="AS385" s="149"/>
      <c r="BG385" s="155"/>
      <c r="BH385" s="152"/>
      <c r="EF385" s="152"/>
    </row>
    <row r="386" spans="3:136" ht="13.8" x14ac:dyDescent="0.25">
      <c r="C386" s="150"/>
      <c r="J386" s="153"/>
      <c r="K386" s="154"/>
      <c r="Y386" s="152"/>
      <c r="AL386" s="152"/>
      <c r="AO386" s="149"/>
      <c r="AP386" s="149"/>
      <c r="AQ386" s="149"/>
      <c r="AR386" s="149"/>
      <c r="AS386" s="149"/>
      <c r="BG386" s="155"/>
      <c r="BH386" s="152"/>
      <c r="EF386" s="152"/>
    </row>
    <row r="387" spans="3:136" ht="13.8" x14ac:dyDescent="0.25">
      <c r="C387" s="150"/>
      <c r="J387" s="153"/>
      <c r="K387" s="154"/>
      <c r="Y387" s="152"/>
      <c r="AL387" s="152"/>
      <c r="AO387" s="149"/>
      <c r="AP387" s="149"/>
      <c r="AQ387" s="149"/>
      <c r="AR387" s="149"/>
      <c r="AS387" s="149"/>
      <c r="BG387" s="155"/>
      <c r="BH387" s="152"/>
      <c r="EF387" s="152"/>
    </row>
    <row r="388" spans="3:136" ht="13.8" x14ac:dyDescent="0.25">
      <c r="C388" s="150"/>
      <c r="J388" s="153"/>
      <c r="K388" s="154"/>
      <c r="Y388" s="152"/>
      <c r="AL388" s="152"/>
      <c r="AO388" s="149"/>
      <c r="AP388" s="149"/>
      <c r="AQ388" s="149"/>
      <c r="AR388" s="149"/>
      <c r="AS388" s="149"/>
      <c r="BG388" s="155"/>
      <c r="BH388" s="152"/>
      <c r="EF388" s="152"/>
    </row>
    <row r="389" spans="3:136" ht="13.8" x14ac:dyDescent="0.25">
      <c r="C389" s="150"/>
      <c r="J389" s="153"/>
      <c r="K389" s="154"/>
      <c r="Y389" s="152"/>
      <c r="AL389" s="152"/>
      <c r="AO389" s="149"/>
      <c r="AP389" s="149"/>
      <c r="AQ389" s="149"/>
      <c r="AR389" s="149"/>
      <c r="AS389" s="149"/>
      <c r="BG389" s="155"/>
      <c r="BH389" s="152"/>
      <c r="EF389" s="152"/>
    </row>
    <row r="390" spans="3:136" ht="13.8" x14ac:dyDescent="0.25">
      <c r="C390" s="150"/>
      <c r="J390" s="153"/>
      <c r="K390" s="154"/>
      <c r="Y390" s="152"/>
      <c r="AL390" s="152"/>
      <c r="AO390" s="149"/>
      <c r="AP390" s="149"/>
      <c r="AQ390" s="149"/>
      <c r="AR390" s="149"/>
      <c r="AS390" s="149"/>
      <c r="BG390" s="155"/>
      <c r="BH390" s="152"/>
      <c r="EF390" s="152"/>
    </row>
    <row r="391" spans="3:136" ht="13.8" x14ac:dyDescent="0.25">
      <c r="C391" s="150"/>
      <c r="J391" s="153"/>
      <c r="K391" s="154"/>
      <c r="Y391" s="152"/>
      <c r="AL391" s="152"/>
      <c r="AO391" s="149"/>
      <c r="AP391" s="149"/>
      <c r="AQ391" s="149"/>
      <c r="AR391" s="149"/>
      <c r="AS391" s="149"/>
      <c r="BG391" s="155"/>
      <c r="BH391" s="152"/>
      <c r="EF391" s="152"/>
    </row>
    <row r="392" spans="3:136" ht="13.8" x14ac:dyDescent="0.25">
      <c r="C392" s="150"/>
      <c r="J392" s="153"/>
      <c r="K392" s="154"/>
      <c r="Y392" s="152"/>
      <c r="AL392" s="152"/>
      <c r="AO392" s="149"/>
      <c r="AP392" s="149"/>
      <c r="AQ392" s="149"/>
      <c r="AR392" s="149"/>
      <c r="AS392" s="149"/>
      <c r="BG392" s="155"/>
      <c r="BH392" s="152"/>
      <c r="EF392" s="152"/>
    </row>
    <row r="393" spans="3:136" ht="13.8" x14ac:dyDescent="0.25">
      <c r="C393" s="150"/>
      <c r="J393" s="153"/>
      <c r="K393" s="154"/>
      <c r="Y393" s="152"/>
      <c r="AL393" s="152"/>
      <c r="AO393" s="149"/>
      <c r="AP393" s="149"/>
      <c r="AQ393" s="149"/>
      <c r="AR393" s="149"/>
      <c r="AS393" s="149"/>
      <c r="BG393" s="155"/>
      <c r="BH393" s="152"/>
      <c r="EF393" s="152"/>
    </row>
    <row r="394" spans="3:136" ht="13.8" x14ac:dyDescent="0.25">
      <c r="C394" s="150"/>
      <c r="J394" s="153"/>
      <c r="K394" s="154"/>
      <c r="Y394" s="152"/>
      <c r="AL394" s="152"/>
      <c r="AO394" s="149"/>
      <c r="AP394" s="149"/>
      <c r="AQ394" s="149"/>
      <c r="AR394" s="149"/>
      <c r="AS394" s="149"/>
      <c r="BG394" s="155"/>
      <c r="BH394" s="152"/>
      <c r="EF394" s="152"/>
    </row>
    <row r="395" spans="3:136" ht="13.8" x14ac:dyDescent="0.25">
      <c r="C395" s="150"/>
      <c r="J395" s="153"/>
      <c r="K395" s="154"/>
      <c r="Y395" s="152"/>
      <c r="AL395" s="152"/>
      <c r="AO395" s="149"/>
      <c r="AP395" s="149"/>
      <c r="AQ395" s="149"/>
      <c r="AR395" s="149"/>
      <c r="AS395" s="149"/>
      <c r="BG395" s="155"/>
      <c r="BH395" s="152"/>
      <c r="EF395" s="152"/>
    </row>
    <row r="396" spans="3:136" ht="13.8" x14ac:dyDescent="0.25">
      <c r="C396" s="150"/>
      <c r="J396" s="153"/>
      <c r="K396" s="154"/>
      <c r="Y396" s="152"/>
      <c r="AL396" s="152"/>
      <c r="AO396" s="149"/>
      <c r="AP396" s="149"/>
      <c r="AQ396" s="149"/>
      <c r="AR396" s="149"/>
      <c r="AS396" s="149"/>
      <c r="BG396" s="155"/>
      <c r="BH396" s="152"/>
      <c r="EF396" s="152"/>
    </row>
    <row r="397" spans="3:136" ht="13.8" x14ac:dyDescent="0.25">
      <c r="C397" s="150"/>
      <c r="J397" s="153"/>
      <c r="K397" s="154"/>
      <c r="Y397" s="152"/>
      <c r="AL397" s="152"/>
      <c r="AO397" s="149"/>
      <c r="AP397" s="149"/>
      <c r="AQ397" s="149"/>
      <c r="AR397" s="149"/>
      <c r="AS397" s="149"/>
      <c r="BG397" s="155"/>
      <c r="BH397" s="152"/>
      <c r="EF397" s="152"/>
    </row>
    <row r="398" spans="3:136" ht="13.8" x14ac:dyDescent="0.25">
      <c r="C398" s="150"/>
      <c r="J398" s="153"/>
      <c r="K398" s="154"/>
      <c r="Y398" s="152"/>
      <c r="AL398" s="152"/>
      <c r="AO398" s="149"/>
      <c r="AP398" s="149"/>
      <c r="AQ398" s="149"/>
      <c r="AR398" s="149"/>
      <c r="AS398" s="149"/>
      <c r="BG398" s="155"/>
      <c r="BH398" s="152"/>
      <c r="EF398" s="152"/>
    </row>
    <row r="399" spans="3:136" ht="13.8" x14ac:dyDescent="0.25">
      <c r="C399" s="150"/>
      <c r="J399" s="153"/>
      <c r="K399" s="154"/>
      <c r="Y399" s="152"/>
      <c r="AL399" s="152"/>
      <c r="AO399" s="149"/>
      <c r="AP399" s="149"/>
      <c r="AQ399" s="149"/>
      <c r="AR399" s="149"/>
      <c r="AS399" s="149"/>
      <c r="BG399" s="155"/>
      <c r="BH399" s="152"/>
      <c r="EF399" s="152"/>
    </row>
    <row r="400" spans="3:136" ht="13.8" x14ac:dyDescent="0.25">
      <c r="C400" s="150"/>
      <c r="J400" s="153"/>
      <c r="K400" s="154"/>
      <c r="Y400" s="152"/>
      <c r="AL400" s="152"/>
      <c r="AO400" s="149"/>
      <c r="AP400" s="149"/>
      <c r="AQ400" s="149"/>
      <c r="AR400" s="149"/>
      <c r="AS400" s="149"/>
      <c r="BG400" s="155"/>
      <c r="BH400" s="152"/>
      <c r="EF400" s="152"/>
    </row>
    <row r="401" spans="3:136" ht="13.8" x14ac:dyDescent="0.25">
      <c r="C401" s="150"/>
      <c r="J401" s="153"/>
      <c r="K401" s="154"/>
      <c r="Y401" s="152"/>
      <c r="AL401" s="152"/>
      <c r="AO401" s="149"/>
      <c r="AP401" s="149"/>
      <c r="AQ401" s="149"/>
      <c r="AR401" s="149"/>
      <c r="AS401" s="149"/>
      <c r="BG401" s="155"/>
      <c r="BH401" s="152"/>
      <c r="EF401" s="152"/>
    </row>
    <row r="402" spans="3:136" ht="13.8" x14ac:dyDescent="0.25">
      <c r="C402" s="150"/>
      <c r="J402" s="153"/>
      <c r="K402" s="154"/>
      <c r="Y402" s="152"/>
      <c r="AL402" s="152"/>
      <c r="AO402" s="149"/>
      <c r="AP402" s="149"/>
      <c r="AQ402" s="149"/>
      <c r="AR402" s="149"/>
      <c r="AS402" s="149"/>
      <c r="BG402" s="155"/>
      <c r="BH402" s="152"/>
      <c r="EF402" s="152"/>
    </row>
    <row r="403" spans="3:136" ht="13.8" x14ac:dyDescent="0.25">
      <c r="C403" s="150"/>
      <c r="J403" s="153"/>
      <c r="K403" s="154"/>
      <c r="Y403" s="152"/>
      <c r="AL403" s="152"/>
      <c r="AO403" s="149"/>
      <c r="AP403" s="149"/>
      <c r="AQ403" s="149"/>
      <c r="AR403" s="149"/>
      <c r="AS403" s="149"/>
      <c r="BG403" s="155"/>
      <c r="BH403" s="152"/>
      <c r="EF403" s="152"/>
    </row>
    <row r="404" spans="3:136" ht="13.8" x14ac:dyDescent="0.25">
      <c r="C404" s="150"/>
      <c r="J404" s="153"/>
      <c r="K404" s="154"/>
      <c r="Y404" s="152"/>
      <c r="AL404" s="152"/>
      <c r="AO404" s="149"/>
      <c r="AP404" s="149"/>
      <c r="AQ404" s="149"/>
      <c r="AR404" s="149"/>
      <c r="AS404" s="149"/>
      <c r="BG404" s="155"/>
      <c r="BH404" s="152"/>
      <c r="EF404" s="152"/>
    </row>
    <row r="405" spans="3:136" ht="13.8" x14ac:dyDescent="0.25">
      <c r="C405" s="150"/>
      <c r="J405" s="153"/>
      <c r="K405" s="154"/>
      <c r="Y405" s="152"/>
      <c r="AL405" s="152"/>
      <c r="AO405" s="149"/>
      <c r="AP405" s="149"/>
      <c r="AQ405" s="149"/>
      <c r="AR405" s="149"/>
      <c r="AS405" s="149"/>
      <c r="BG405" s="155"/>
      <c r="BH405" s="152"/>
      <c r="EF405" s="152"/>
    </row>
    <row r="406" spans="3:136" ht="13.8" x14ac:dyDescent="0.25">
      <c r="C406" s="150"/>
      <c r="J406" s="153"/>
      <c r="K406" s="154"/>
      <c r="Y406" s="152"/>
      <c r="AL406" s="152"/>
      <c r="AO406" s="149"/>
      <c r="AP406" s="149"/>
      <c r="AQ406" s="149"/>
      <c r="AR406" s="149"/>
      <c r="AS406" s="149"/>
      <c r="BG406" s="155"/>
      <c r="BH406" s="152"/>
      <c r="EF406" s="152"/>
    </row>
    <row r="407" spans="3:136" ht="13.8" x14ac:dyDescent="0.25">
      <c r="C407" s="150"/>
      <c r="J407" s="153"/>
      <c r="K407" s="154"/>
      <c r="Y407" s="152"/>
      <c r="AL407" s="152"/>
      <c r="AO407" s="149"/>
      <c r="AP407" s="149"/>
      <c r="AQ407" s="149"/>
      <c r="AR407" s="149"/>
      <c r="AS407" s="149"/>
      <c r="BG407" s="155"/>
      <c r="BH407" s="152"/>
      <c r="EF407" s="152"/>
    </row>
    <row r="408" spans="3:136" ht="13.8" x14ac:dyDescent="0.25">
      <c r="C408" s="150"/>
      <c r="J408" s="153"/>
      <c r="K408" s="154"/>
      <c r="Y408" s="152"/>
      <c r="AL408" s="152"/>
      <c r="AO408" s="149"/>
      <c r="AP408" s="149"/>
      <c r="AQ408" s="149"/>
      <c r="AR408" s="149"/>
      <c r="AS408" s="149"/>
      <c r="BG408" s="155"/>
      <c r="BH408" s="152"/>
      <c r="EF408" s="152"/>
    </row>
    <row r="409" spans="3:136" ht="13.8" x14ac:dyDescent="0.25">
      <c r="C409" s="150"/>
      <c r="J409" s="153"/>
      <c r="K409" s="154"/>
      <c r="Y409" s="152"/>
      <c r="AL409" s="152"/>
      <c r="AO409" s="149"/>
      <c r="AP409" s="149"/>
      <c r="AQ409" s="149"/>
      <c r="AR409" s="149"/>
      <c r="AS409" s="149"/>
      <c r="BG409" s="155"/>
      <c r="BH409" s="152"/>
      <c r="EF409" s="152"/>
    </row>
    <row r="410" spans="3:136" ht="13.8" x14ac:dyDescent="0.25">
      <c r="C410" s="150"/>
      <c r="J410" s="153"/>
      <c r="K410" s="154"/>
      <c r="Y410" s="152"/>
      <c r="AL410" s="152"/>
      <c r="AO410" s="149"/>
      <c r="AP410" s="149"/>
      <c r="AQ410" s="149"/>
      <c r="AR410" s="149"/>
      <c r="AS410" s="149"/>
      <c r="BG410" s="155"/>
      <c r="BH410" s="152"/>
      <c r="EF410" s="152"/>
    </row>
    <row r="411" spans="3:136" ht="13.8" x14ac:dyDescent="0.25">
      <c r="C411" s="150"/>
      <c r="J411" s="153"/>
      <c r="K411" s="154"/>
      <c r="Y411" s="152"/>
      <c r="AL411" s="152"/>
      <c r="AO411" s="149"/>
      <c r="AP411" s="149"/>
      <c r="AQ411" s="149"/>
      <c r="AR411" s="149"/>
      <c r="AS411" s="149"/>
      <c r="BG411" s="155"/>
      <c r="BH411" s="152"/>
      <c r="EF411" s="152"/>
    </row>
    <row r="412" spans="3:136" ht="13.8" x14ac:dyDescent="0.25">
      <c r="C412" s="150"/>
      <c r="J412" s="153"/>
      <c r="K412" s="154"/>
      <c r="Y412" s="152"/>
      <c r="AL412" s="152"/>
      <c r="AO412" s="149"/>
      <c r="AP412" s="149"/>
      <c r="AQ412" s="149"/>
      <c r="AR412" s="149"/>
      <c r="AS412" s="149"/>
      <c r="BG412" s="155"/>
      <c r="BH412" s="152"/>
      <c r="EF412" s="152"/>
    </row>
    <row r="413" spans="3:136" ht="13.8" x14ac:dyDescent="0.25">
      <c r="C413" s="150"/>
      <c r="J413" s="153"/>
      <c r="K413" s="154"/>
      <c r="Y413" s="152"/>
      <c r="AL413" s="152"/>
      <c r="AO413" s="149"/>
      <c r="AP413" s="149"/>
      <c r="AQ413" s="149"/>
      <c r="AR413" s="149"/>
      <c r="AS413" s="149"/>
      <c r="BG413" s="155"/>
      <c r="BH413" s="152"/>
      <c r="EF413" s="152"/>
    </row>
    <row r="414" spans="3:136" ht="13.8" x14ac:dyDescent="0.25">
      <c r="C414" s="150"/>
      <c r="J414" s="153"/>
      <c r="K414" s="154"/>
      <c r="Y414" s="152"/>
      <c r="AL414" s="152"/>
      <c r="AO414" s="149"/>
      <c r="AP414" s="149"/>
      <c r="AQ414" s="149"/>
      <c r="AR414" s="149"/>
      <c r="AS414" s="149"/>
      <c r="BG414" s="155"/>
      <c r="BH414" s="152"/>
      <c r="EF414" s="152"/>
    </row>
    <row r="415" spans="3:136" ht="13.8" x14ac:dyDescent="0.25">
      <c r="C415" s="150"/>
      <c r="J415" s="153"/>
      <c r="K415" s="154"/>
      <c r="Y415" s="152"/>
      <c r="AL415" s="152"/>
      <c r="AO415" s="149"/>
      <c r="AP415" s="149"/>
      <c r="AQ415" s="149"/>
      <c r="AR415" s="149"/>
      <c r="AS415" s="149"/>
      <c r="BG415" s="155"/>
      <c r="BH415" s="152"/>
      <c r="EF415" s="152"/>
    </row>
    <row r="416" spans="3:136" ht="13.8" x14ac:dyDescent="0.25">
      <c r="C416" s="150"/>
      <c r="J416" s="153"/>
      <c r="K416" s="154"/>
      <c r="Y416" s="152"/>
      <c r="AL416" s="152"/>
      <c r="AO416" s="149"/>
      <c r="AP416" s="149"/>
      <c r="AQ416" s="149"/>
      <c r="AR416" s="149"/>
      <c r="AS416" s="149"/>
      <c r="BG416" s="155"/>
      <c r="BH416" s="152"/>
      <c r="EF416" s="152"/>
    </row>
    <row r="417" spans="3:136" ht="13.8" x14ac:dyDescent="0.25">
      <c r="C417" s="150"/>
      <c r="J417" s="153"/>
      <c r="K417" s="154"/>
      <c r="Y417" s="152"/>
      <c r="AL417" s="152"/>
      <c r="AO417" s="149"/>
      <c r="AP417" s="149"/>
      <c r="AQ417" s="149"/>
      <c r="AR417" s="149"/>
      <c r="AS417" s="149"/>
      <c r="BG417" s="155"/>
      <c r="BH417" s="152"/>
      <c r="EF417" s="152"/>
    </row>
    <row r="418" spans="3:136" ht="13.8" x14ac:dyDescent="0.25">
      <c r="C418" s="150"/>
      <c r="J418" s="153"/>
      <c r="K418" s="154"/>
      <c r="Y418" s="152"/>
      <c r="AL418" s="152"/>
      <c r="AO418" s="149"/>
      <c r="AP418" s="149"/>
      <c r="AQ418" s="149"/>
      <c r="AR418" s="149"/>
      <c r="AS418" s="149"/>
      <c r="BG418" s="155"/>
      <c r="BH418" s="152"/>
      <c r="EF418" s="152"/>
    </row>
    <row r="419" spans="3:136" ht="13.8" x14ac:dyDescent="0.25">
      <c r="C419" s="150"/>
      <c r="J419" s="153"/>
      <c r="K419" s="154"/>
      <c r="Y419" s="152"/>
      <c r="AL419" s="152"/>
      <c r="AO419" s="149"/>
      <c r="AP419" s="149"/>
      <c r="AQ419" s="149"/>
      <c r="AR419" s="149"/>
      <c r="AS419" s="149"/>
      <c r="BG419" s="155"/>
      <c r="BH419" s="152"/>
      <c r="EF419" s="152"/>
    </row>
    <row r="420" spans="3:136" ht="13.8" x14ac:dyDescent="0.25">
      <c r="C420" s="150"/>
      <c r="J420" s="153"/>
      <c r="K420" s="154"/>
      <c r="Y420" s="152"/>
      <c r="AL420" s="152"/>
      <c r="AO420" s="149"/>
      <c r="AP420" s="149"/>
      <c r="AQ420" s="149"/>
      <c r="AR420" s="149"/>
      <c r="AS420" s="149"/>
      <c r="BG420" s="155"/>
      <c r="BH420" s="152"/>
      <c r="EF420" s="152"/>
    </row>
    <row r="421" spans="3:136" ht="13.8" x14ac:dyDescent="0.25">
      <c r="C421" s="150"/>
      <c r="J421" s="153"/>
      <c r="K421" s="154"/>
      <c r="Y421" s="152"/>
      <c r="AL421" s="152"/>
      <c r="AO421" s="149"/>
      <c r="AP421" s="149"/>
      <c r="AQ421" s="149"/>
      <c r="AR421" s="149"/>
      <c r="AS421" s="149"/>
      <c r="BG421" s="155"/>
      <c r="BH421" s="152"/>
      <c r="EF421" s="152"/>
    </row>
    <row r="422" spans="3:136" ht="13.8" x14ac:dyDescent="0.25">
      <c r="C422" s="150"/>
      <c r="J422" s="153"/>
      <c r="K422" s="154"/>
      <c r="Y422" s="152"/>
      <c r="AL422" s="152"/>
      <c r="AO422" s="149"/>
      <c r="AP422" s="149"/>
      <c r="AQ422" s="149"/>
      <c r="AR422" s="149"/>
      <c r="AS422" s="149"/>
      <c r="BG422" s="155"/>
      <c r="BH422" s="152"/>
      <c r="EF422" s="152"/>
    </row>
    <row r="423" spans="3:136" ht="13.8" x14ac:dyDescent="0.25">
      <c r="C423" s="150"/>
      <c r="J423" s="153"/>
      <c r="K423" s="154"/>
      <c r="Y423" s="152"/>
      <c r="AL423" s="152"/>
      <c r="AO423" s="149"/>
      <c r="AP423" s="149"/>
      <c r="AQ423" s="149"/>
      <c r="AR423" s="149"/>
      <c r="AS423" s="149"/>
      <c r="BG423" s="155"/>
      <c r="BH423" s="152"/>
      <c r="EF423" s="152"/>
    </row>
    <row r="424" spans="3:136" ht="13.8" x14ac:dyDescent="0.25">
      <c r="C424" s="150"/>
      <c r="J424" s="153"/>
      <c r="K424" s="154"/>
      <c r="Y424" s="152"/>
      <c r="AL424" s="152"/>
      <c r="AO424" s="149"/>
      <c r="AP424" s="149"/>
      <c r="AQ424" s="149"/>
      <c r="AR424" s="149"/>
      <c r="AS424" s="149"/>
      <c r="BG424" s="155"/>
      <c r="BH424" s="152"/>
      <c r="EF424" s="152"/>
    </row>
    <row r="425" spans="3:136" ht="13.8" x14ac:dyDescent="0.25">
      <c r="C425" s="150"/>
      <c r="J425" s="153"/>
      <c r="K425" s="154"/>
      <c r="Y425" s="152"/>
      <c r="AL425" s="152"/>
      <c r="AO425" s="149"/>
      <c r="AP425" s="149"/>
      <c r="AQ425" s="149"/>
      <c r="AR425" s="149"/>
      <c r="AS425" s="149"/>
      <c r="BG425" s="155"/>
      <c r="BH425" s="152"/>
      <c r="EF425" s="152"/>
    </row>
    <row r="426" spans="3:136" ht="13.8" x14ac:dyDescent="0.25">
      <c r="C426" s="150"/>
      <c r="J426" s="153"/>
      <c r="K426" s="154"/>
      <c r="Y426" s="152"/>
      <c r="AL426" s="152"/>
      <c r="AO426" s="149"/>
      <c r="AP426" s="149"/>
      <c r="AQ426" s="149"/>
      <c r="AR426" s="149"/>
      <c r="AS426" s="149"/>
      <c r="BG426" s="155"/>
      <c r="BH426" s="152"/>
      <c r="EF426" s="152"/>
    </row>
    <row r="427" spans="3:136" ht="13.8" x14ac:dyDescent="0.25">
      <c r="C427" s="150"/>
      <c r="J427" s="153"/>
      <c r="K427" s="154"/>
      <c r="Y427" s="152"/>
      <c r="AL427" s="152"/>
      <c r="AO427" s="149"/>
      <c r="AP427" s="149"/>
      <c r="AQ427" s="149"/>
      <c r="AR427" s="149"/>
      <c r="AS427" s="149"/>
      <c r="BG427" s="155"/>
      <c r="BH427" s="152"/>
      <c r="EF427" s="152"/>
    </row>
    <row r="428" spans="3:136" ht="13.8" x14ac:dyDescent="0.25">
      <c r="C428" s="150"/>
      <c r="J428" s="153"/>
      <c r="K428" s="154"/>
      <c r="Y428" s="152"/>
      <c r="AL428" s="152"/>
      <c r="AO428" s="149"/>
      <c r="AP428" s="149"/>
      <c r="AQ428" s="149"/>
      <c r="AR428" s="149"/>
      <c r="AS428" s="149"/>
      <c r="BG428" s="155"/>
      <c r="BH428" s="152"/>
      <c r="EF428" s="152"/>
    </row>
    <row r="429" spans="3:136" ht="13.8" x14ac:dyDescent="0.25">
      <c r="C429" s="150"/>
      <c r="J429" s="153"/>
      <c r="K429" s="154"/>
      <c r="Y429" s="152"/>
      <c r="AL429" s="152"/>
      <c r="AO429" s="149"/>
      <c r="AP429" s="149"/>
      <c r="AQ429" s="149"/>
      <c r="AR429" s="149"/>
      <c r="AS429" s="149"/>
      <c r="BG429" s="155"/>
      <c r="BH429" s="152"/>
      <c r="EF429" s="152"/>
    </row>
    <row r="430" spans="3:136" ht="13.8" x14ac:dyDescent="0.25">
      <c r="C430" s="150"/>
      <c r="J430" s="153"/>
      <c r="K430" s="154"/>
      <c r="Y430" s="152"/>
      <c r="AL430" s="152"/>
      <c r="AO430" s="149"/>
      <c r="AP430" s="149"/>
      <c r="AQ430" s="149"/>
      <c r="AR430" s="149"/>
      <c r="AS430" s="149"/>
      <c r="BG430" s="155"/>
      <c r="BH430" s="152"/>
      <c r="EF430" s="152"/>
    </row>
    <row r="431" spans="3:136" ht="13.8" x14ac:dyDescent="0.25">
      <c r="C431" s="150"/>
      <c r="J431" s="153"/>
      <c r="K431" s="154"/>
      <c r="Y431" s="152"/>
      <c r="AL431" s="152"/>
      <c r="AO431" s="149"/>
      <c r="AP431" s="149"/>
      <c r="AQ431" s="149"/>
      <c r="AR431" s="149"/>
      <c r="AS431" s="149"/>
      <c r="BG431" s="155"/>
      <c r="BH431" s="152"/>
      <c r="EF431" s="152"/>
    </row>
    <row r="432" spans="3:136" ht="13.8" x14ac:dyDescent="0.25">
      <c r="C432" s="150"/>
      <c r="J432" s="153"/>
      <c r="K432" s="154"/>
      <c r="Y432" s="152"/>
      <c r="AL432" s="152"/>
      <c r="AO432" s="149"/>
      <c r="AP432" s="149"/>
      <c r="AQ432" s="149"/>
      <c r="AR432" s="149"/>
      <c r="AS432" s="149"/>
      <c r="BG432" s="155"/>
      <c r="BH432" s="152"/>
      <c r="EF432" s="152"/>
    </row>
    <row r="433" spans="3:136" ht="13.8" x14ac:dyDescent="0.25">
      <c r="C433" s="150"/>
      <c r="J433" s="153"/>
      <c r="K433" s="154"/>
      <c r="Y433" s="152"/>
      <c r="AL433" s="152"/>
      <c r="AO433" s="149"/>
      <c r="AP433" s="149"/>
      <c r="AQ433" s="149"/>
      <c r="AR433" s="149"/>
      <c r="AS433" s="149"/>
      <c r="BG433" s="155"/>
      <c r="BH433" s="152"/>
      <c r="EF433" s="152"/>
    </row>
    <row r="434" spans="3:136" ht="13.8" x14ac:dyDescent="0.25">
      <c r="C434" s="150"/>
      <c r="J434" s="153"/>
      <c r="K434" s="154"/>
      <c r="Y434" s="152"/>
      <c r="AL434" s="152"/>
      <c r="AO434" s="149"/>
      <c r="AP434" s="149"/>
      <c r="AQ434" s="149"/>
      <c r="AR434" s="149"/>
      <c r="AS434" s="149"/>
      <c r="BG434" s="155"/>
      <c r="BH434" s="152"/>
      <c r="EF434" s="152"/>
    </row>
    <row r="435" spans="3:136" ht="13.8" x14ac:dyDescent="0.25">
      <c r="C435" s="150"/>
      <c r="J435" s="153"/>
      <c r="K435" s="154"/>
      <c r="Y435" s="152"/>
      <c r="AL435" s="152"/>
      <c r="AO435" s="149"/>
      <c r="AP435" s="149"/>
      <c r="AQ435" s="149"/>
      <c r="AR435" s="149"/>
      <c r="AS435" s="149"/>
      <c r="BG435" s="155"/>
      <c r="BH435" s="152"/>
      <c r="EF435" s="152"/>
    </row>
    <row r="436" spans="3:136" ht="13.8" x14ac:dyDescent="0.25">
      <c r="C436" s="150"/>
      <c r="J436" s="153"/>
      <c r="K436" s="154"/>
      <c r="Y436" s="152"/>
      <c r="AL436" s="152"/>
      <c r="AO436" s="149"/>
      <c r="AP436" s="149"/>
      <c r="AQ436" s="149"/>
      <c r="AR436" s="149"/>
      <c r="AS436" s="149"/>
      <c r="BG436" s="155"/>
      <c r="BH436" s="152"/>
      <c r="EF436" s="152"/>
    </row>
    <row r="437" spans="3:136" ht="13.8" x14ac:dyDescent="0.25">
      <c r="C437" s="150"/>
      <c r="J437" s="153"/>
      <c r="K437" s="154"/>
      <c r="Y437" s="152"/>
      <c r="AL437" s="152"/>
      <c r="AO437" s="149"/>
      <c r="AP437" s="149"/>
      <c r="AQ437" s="149"/>
      <c r="AR437" s="149"/>
      <c r="AS437" s="149"/>
      <c r="BG437" s="155"/>
      <c r="BH437" s="152"/>
      <c r="EF437" s="152"/>
    </row>
    <row r="438" spans="3:136" ht="13.8" x14ac:dyDescent="0.25">
      <c r="C438" s="150"/>
      <c r="J438" s="153"/>
      <c r="K438" s="154"/>
      <c r="Y438" s="152"/>
      <c r="AL438" s="152"/>
      <c r="AO438" s="149"/>
      <c r="AP438" s="149"/>
      <c r="AQ438" s="149"/>
      <c r="AR438" s="149"/>
      <c r="AS438" s="149"/>
      <c r="BG438" s="155"/>
      <c r="BH438" s="152"/>
      <c r="EF438" s="152"/>
    </row>
    <row r="439" spans="3:136" ht="13.8" x14ac:dyDescent="0.25">
      <c r="C439" s="150"/>
      <c r="J439" s="153"/>
      <c r="K439" s="154"/>
      <c r="Y439" s="152"/>
      <c r="AL439" s="152"/>
      <c r="AO439" s="149"/>
      <c r="AP439" s="149"/>
      <c r="AQ439" s="149"/>
      <c r="AR439" s="149"/>
      <c r="AS439" s="149"/>
      <c r="BG439" s="155"/>
      <c r="BH439" s="152"/>
      <c r="EF439" s="152"/>
    </row>
    <row r="440" spans="3:136" ht="13.8" x14ac:dyDescent="0.25">
      <c r="C440" s="150"/>
      <c r="J440" s="153"/>
      <c r="K440" s="154"/>
      <c r="Y440" s="152"/>
      <c r="AL440" s="152"/>
      <c r="AO440" s="149"/>
      <c r="AP440" s="149"/>
      <c r="AQ440" s="149"/>
      <c r="AR440" s="149"/>
      <c r="AS440" s="149"/>
      <c r="BG440" s="155"/>
      <c r="BH440" s="152"/>
      <c r="EF440" s="152"/>
    </row>
    <row r="441" spans="3:136" ht="13.8" x14ac:dyDescent="0.25">
      <c r="C441" s="150"/>
      <c r="J441" s="153"/>
      <c r="K441" s="154"/>
      <c r="Y441" s="152"/>
      <c r="AL441" s="152"/>
      <c r="AO441" s="149"/>
      <c r="AP441" s="149"/>
      <c r="AQ441" s="149"/>
      <c r="AR441" s="149"/>
      <c r="AS441" s="149"/>
      <c r="BG441" s="155"/>
      <c r="BH441" s="152"/>
      <c r="EF441" s="152"/>
    </row>
    <row r="442" spans="3:136" ht="13.8" x14ac:dyDescent="0.25">
      <c r="C442" s="150"/>
      <c r="J442" s="153"/>
      <c r="K442" s="154"/>
      <c r="Y442" s="152"/>
      <c r="AL442" s="152"/>
      <c r="AO442" s="149"/>
      <c r="AP442" s="149"/>
      <c r="AQ442" s="149"/>
      <c r="AR442" s="149"/>
      <c r="AS442" s="149"/>
      <c r="BG442" s="155"/>
      <c r="BH442" s="152"/>
      <c r="EF442" s="152"/>
    </row>
    <row r="443" spans="3:136" ht="13.8" x14ac:dyDescent="0.25">
      <c r="C443" s="150"/>
      <c r="J443" s="153"/>
      <c r="K443" s="154"/>
      <c r="Y443" s="152"/>
      <c r="AL443" s="152"/>
      <c r="AO443" s="149"/>
      <c r="AP443" s="149"/>
      <c r="AQ443" s="149"/>
      <c r="AR443" s="149"/>
      <c r="AS443" s="149"/>
      <c r="BG443" s="155"/>
      <c r="BH443" s="152"/>
      <c r="EF443" s="152"/>
    </row>
    <row r="444" spans="3:136" ht="13.8" x14ac:dyDescent="0.25">
      <c r="C444" s="150"/>
      <c r="J444" s="153"/>
      <c r="K444" s="154"/>
      <c r="Y444" s="152"/>
      <c r="AL444" s="152"/>
      <c r="AO444" s="149"/>
      <c r="AP444" s="149"/>
      <c r="AQ444" s="149"/>
      <c r="AR444" s="149"/>
      <c r="AS444" s="149"/>
      <c r="BG444" s="155"/>
      <c r="BH444" s="152"/>
      <c r="EF444" s="152"/>
    </row>
    <row r="445" spans="3:136" ht="13.8" x14ac:dyDescent="0.25">
      <c r="C445" s="150"/>
      <c r="J445" s="153"/>
      <c r="K445" s="154"/>
      <c r="Y445" s="152"/>
      <c r="AL445" s="152"/>
      <c r="AO445" s="149"/>
      <c r="AP445" s="149"/>
      <c r="AQ445" s="149"/>
      <c r="AR445" s="149"/>
      <c r="AS445" s="149"/>
      <c r="BG445" s="155"/>
      <c r="BH445" s="152"/>
      <c r="EF445" s="152"/>
    </row>
    <row r="446" spans="3:136" ht="13.8" x14ac:dyDescent="0.25">
      <c r="C446" s="150"/>
      <c r="J446" s="153"/>
      <c r="K446" s="154"/>
      <c r="Y446" s="152"/>
      <c r="AL446" s="152"/>
      <c r="AO446" s="149"/>
      <c r="AP446" s="149"/>
      <c r="AQ446" s="149"/>
      <c r="AR446" s="149"/>
      <c r="AS446" s="149"/>
      <c r="BG446" s="155"/>
      <c r="BH446" s="152"/>
      <c r="EF446" s="152"/>
    </row>
    <row r="447" spans="3:136" ht="13.8" x14ac:dyDescent="0.25">
      <c r="C447" s="150"/>
      <c r="J447" s="153"/>
      <c r="K447" s="154"/>
      <c r="Y447" s="152"/>
      <c r="AL447" s="152"/>
      <c r="AO447" s="149"/>
      <c r="AP447" s="149"/>
      <c r="AQ447" s="149"/>
      <c r="AR447" s="149"/>
      <c r="AS447" s="149"/>
      <c r="BG447" s="155"/>
      <c r="BH447" s="152"/>
      <c r="EF447" s="152"/>
    </row>
    <row r="448" spans="3:136" ht="13.8" x14ac:dyDescent="0.25">
      <c r="C448" s="150"/>
      <c r="J448" s="153"/>
      <c r="K448" s="154"/>
      <c r="Y448" s="152"/>
      <c r="AL448" s="152"/>
      <c r="AO448" s="149"/>
      <c r="AP448" s="149"/>
      <c r="AQ448" s="149"/>
      <c r="AR448" s="149"/>
      <c r="AS448" s="149"/>
      <c r="BG448" s="155"/>
      <c r="BH448" s="152"/>
      <c r="EF448" s="152"/>
    </row>
    <row r="449" spans="3:136" ht="13.8" x14ac:dyDescent="0.25">
      <c r="C449" s="150"/>
      <c r="J449" s="153"/>
      <c r="K449" s="154"/>
      <c r="Y449" s="152"/>
      <c r="AL449" s="152"/>
      <c r="AO449" s="149"/>
      <c r="AP449" s="149"/>
      <c r="AQ449" s="149"/>
      <c r="AR449" s="149"/>
      <c r="AS449" s="149"/>
      <c r="BG449" s="155"/>
      <c r="BH449" s="152"/>
      <c r="EF449" s="152"/>
    </row>
    <row r="450" spans="3:136" ht="13.8" x14ac:dyDescent="0.25">
      <c r="C450" s="150"/>
      <c r="J450" s="153"/>
      <c r="K450" s="154"/>
      <c r="Y450" s="152"/>
      <c r="AL450" s="152"/>
      <c r="AO450" s="149"/>
      <c r="AP450" s="149"/>
      <c r="AQ450" s="149"/>
      <c r="AR450" s="149"/>
      <c r="AS450" s="149"/>
      <c r="BG450" s="155"/>
      <c r="BH450" s="152"/>
      <c r="EF450" s="152"/>
    </row>
    <row r="451" spans="3:136" ht="13.8" x14ac:dyDescent="0.25">
      <c r="C451" s="150"/>
      <c r="J451" s="153"/>
      <c r="K451" s="154"/>
      <c r="Y451" s="152"/>
      <c r="AL451" s="152"/>
      <c r="AO451" s="149"/>
      <c r="AP451" s="149"/>
      <c r="AQ451" s="149"/>
      <c r="AR451" s="149"/>
      <c r="AS451" s="149"/>
      <c r="BG451" s="155"/>
      <c r="BH451" s="152"/>
      <c r="EF451" s="152"/>
    </row>
    <row r="452" spans="3:136" ht="13.8" x14ac:dyDescent="0.25">
      <c r="C452" s="150"/>
      <c r="J452" s="153"/>
      <c r="K452" s="154"/>
      <c r="Y452" s="152"/>
      <c r="AL452" s="152"/>
      <c r="AO452" s="149"/>
      <c r="AP452" s="149"/>
      <c r="AQ452" s="149"/>
      <c r="AR452" s="149"/>
      <c r="AS452" s="149"/>
      <c r="BG452" s="155"/>
      <c r="BH452" s="152"/>
      <c r="EF452" s="152"/>
    </row>
    <row r="453" spans="3:136" ht="13.8" x14ac:dyDescent="0.25">
      <c r="C453" s="150"/>
      <c r="J453" s="153"/>
      <c r="K453" s="154"/>
      <c r="Y453" s="152"/>
      <c r="AL453" s="152"/>
      <c r="AO453" s="149"/>
      <c r="AP453" s="149"/>
      <c r="AQ453" s="149"/>
      <c r="AR453" s="149"/>
      <c r="AS453" s="149"/>
      <c r="BG453" s="155"/>
      <c r="BH453" s="152"/>
      <c r="EF453" s="152"/>
    </row>
    <row r="454" spans="3:136" ht="13.8" x14ac:dyDescent="0.25">
      <c r="C454" s="150"/>
      <c r="J454" s="153"/>
      <c r="K454" s="154"/>
      <c r="Y454" s="152"/>
      <c r="AL454" s="152"/>
      <c r="AO454" s="149"/>
      <c r="AP454" s="149"/>
      <c r="AQ454" s="149"/>
      <c r="AR454" s="149"/>
      <c r="AS454" s="149"/>
      <c r="BG454" s="155"/>
      <c r="BH454" s="152"/>
      <c r="EF454" s="152"/>
    </row>
    <row r="455" spans="3:136" ht="13.8" x14ac:dyDescent="0.25">
      <c r="C455" s="150"/>
      <c r="J455" s="153"/>
      <c r="K455" s="154"/>
      <c r="Y455" s="152"/>
      <c r="AL455" s="152"/>
      <c r="AO455" s="149"/>
      <c r="AP455" s="149"/>
      <c r="AQ455" s="149"/>
      <c r="AR455" s="149"/>
      <c r="AS455" s="149"/>
      <c r="BG455" s="155"/>
      <c r="BH455" s="152"/>
      <c r="EF455" s="152"/>
    </row>
    <row r="456" spans="3:136" ht="13.8" x14ac:dyDescent="0.25">
      <c r="C456" s="150"/>
      <c r="J456" s="153"/>
      <c r="K456" s="154"/>
      <c r="Y456" s="152"/>
      <c r="AL456" s="152"/>
      <c r="AO456" s="149"/>
      <c r="AP456" s="149"/>
      <c r="AQ456" s="149"/>
      <c r="AR456" s="149"/>
      <c r="AS456" s="149"/>
      <c r="BG456" s="155"/>
      <c r="BH456" s="152"/>
      <c r="EF456" s="152"/>
    </row>
    <row r="457" spans="3:136" ht="13.8" x14ac:dyDescent="0.25">
      <c r="C457" s="150"/>
      <c r="J457" s="153"/>
      <c r="K457" s="154"/>
      <c r="Y457" s="152"/>
      <c r="AL457" s="152"/>
      <c r="AO457" s="149"/>
      <c r="AP457" s="149"/>
      <c r="AQ457" s="149"/>
      <c r="AR457" s="149"/>
      <c r="AS457" s="149"/>
      <c r="BG457" s="155"/>
      <c r="BH457" s="152"/>
      <c r="EF457" s="152"/>
    </row>
    <row r="458" spans="3:136" ht="13.8" x14ac:dyDescent="0.25">
      <c r="C458" s="150"/>
      <c r="J458" s="153"/>
      <c r="K458" s="154"/>
      <c r="Y458" s="152"/>
      <c r="AL458" s="152"/>
      <c r="AO458" s="149"/>
      <c r="AP458" s="149"/>
      <c r="AQ458" s="149"/>
      <c r="AR458" s="149"/>
      <c r="AS458" s="149"/>
      <c r="BG458" s="155"/>
      <c r="BH458" s="152"/>
      <c r="EF458" s="152"/>
    </row>
    <row r="459" spans="3:136" ht="13.8" x14ac:dyDescent="0.25">
      <c r="C459" s="150"/>
      <c r="J459" s="153"/>
      <c r="K459" s="154"/>
      <c r="Y459" s="152"/>
      <c r="AL459" s="152"/>
      <c r="AO459" s="149"/>
      <c r="AP459" s="149"/>
      <c r="AQ459" s="149"/>
      <c r="AR459" s="149"/>
      <c r="AS459" s="149"/>
      <c r="BG459" s="155"/>
      <c r="BH459" s="152"/>
      <c r="EF459" s="152"/>
    </row>
    <row r="460" spans="3:136" ht="13.8" x14ac:dyDescent="0.25">
      <c r="C460" s="150"/>
      <c r="J460" s="153"/>
      <c r="K460" s="154"/>
      <c r="Y460" s="152"/>
      <c r="AL460" s="152"/>
      <c r="AO460" s="149"/>
      <c r="AP460" s="149"/>
      <c r="AQ460" s="149"/>
      <c r="AR460" s="149"/>
      <c r="AS460" s="149"/>
      <c r="BG460" s="155"/>
      <c r="BH460" s="152"/>
      <c r="EF460" s="152"/>
    </row>
    <row r="461" spans="3:136" ht="13.8" x14ac:dyDescent="0.25">
      <c r="C461" s="150"/>
      <c r="J461" s="153"/>
      <c r="K461" s="154"/>
      <c r="Y461" s="152"/>
      <c r="AL461" s="152"/>
      <c r="AO461" s="149"/>
      <c r="AP461" s="149"/>
      <c r="AQ461" s="149"/>
      <c r="AR461" s="149"/>
      <c r="AS461" s="149"/>
      <c r="BG461" s="155"/>
      <c r="BH461" s="152"/>
      <c r="EF461" s="152"/>
    </row>
    <row r="462" spans="3:136" ht="13.8" x14ac:dyDescent="0.25">
      <c r="C462" s="150"/>
      <c r="J462" s="153"/>
      <c r="K462" s="154"/>
      <c r="Y462" s="152"/>
      <c r="AL462" s="152"/>
      <c r="AO462" s="149"/>
      <c r="AP462" s="149"/>
      <c r="AQ462" s="149"/>
      <c r="AR462" s="149"/>
      <c r="AS462" s="149"/>
      <c r="BG462" s="155"/>
      <c r="BH462" s="152"/>
      <c r="EF462" s="152"/>
    </row>
    <row r="463" spans="3:136" ht="13.8" x14ac:dyDescent="0.25">
      <c r="C463" s="150"/>
      <c r="J463" s="153"/>
      <c r="K463" s="154"/>
      <c r="Y463" s="152"/>
      <c r="AL463" s="152"/>
      <c r="AO463" s="149"/>
      <c r="AP463" s="149"/>
      <c r="AQ463" s="149"/>
      <c r="AR463" s="149"/>
      <c r="AS463" s="149"/>
      <c r="BG463" s="155"/>
      <c r="BH463" s="152"/>
      <c r="EF463" s="152"/>
    </row>
    <row r="464" spans="3:136" ht="13.8" x14ac:dyDescent="0.25">
      <c r="C464" s="150"/>
      <c r="J464" s="153"/>
      <c r="K464" s="154"/>
      <c r="Y464" s="152"/>
      <c r="AL464" s="152"/>
      <c r="AO464" s="149"/>
      <c r="AP464" s="149"/>
      <c r="AQ464" s="149"/>
      <c r="AR464" s="149"/>
      <c r="AS464" s="149"/>
      <c r="BG464" s="155"/>
      <c r="BH464" s="152"/>
      <c r="EF464" s="152"/>
    </row>
    <row r="465" spans="3:136" ht="13.8" x14ac:dyDescent="0.25">
      <c r="C465" s="150"/>
      <c r="J465" s="153"/>
      <c r="K465" s="154"/>
      <c r="Y465" s="152"/>
      <c r="AL465" s="152"/>
      <c r="AO465" s="149"/>
      <c r="AP465" s="149"/>
      <c r="AQ465" s="149"/>
      <c r="AR465" s="149"/>
      <c r="AS465" s="149"/>
      <c r="BG465" s="155"/>
      <c r="BH465" s="152"/>
      <c r="EF465" s="152"/>
    </row>
    <row r="466" spans="3:136" ht="13.8" x14ac:dyDescent="0.25">
      <c r="C466" s="150"/>
      <c r="J466" s="153"/>
      <c r="K466" s="154"/>
      <c r="Y466" s="152"/>
      <c r="AL466" s="152"/>
      <c r="AO466" s="149"/>
      <c r="AP466" s="149"/>
      <c r="AQ466" s="149"/>
      <c r="AR466" s="149"/>
      <c r="AS466" s="149"/>
      <c r="BG466" s="155"/>
      <c r="BH466" s="152"/>
      <c r="EF466" s="152"/>
    </row>
    <row r="467" spans="3:136" ht="13.8" x14ac:dyDescent="0.25">
      <c r="C467" s="150"/>
      <c r="J467" s="153"/>
      <c r="K467" s="154"/>
      <c r="Y467" s="152"/>
      <c r="AL467" s="152"/>
      <c r="AO467" s="149"/>
      <c r="AP467" s="149"/>
      <c r="AQ467" s="149"/>
      <c r="AR467" s="149"/>
      <c r="AS467" s="149"/>
      <c r="BG467" s="155"/>
      <c r="BH467" s="152"/>
      <c r="EF467" s="152"/>
    </row>
    <row r="468" spans="3:136" ht="13.8" x14ac:dyDescent="0.25">
      <c r="C468" s="150"/>
      <c r="J468" s="153"/>
      <c r="K468" s="154"/>
      <c r="Y468" s="152"/>
      <c r="AL468" s="152"/>
      <c r="AO468" s="149"/>
      <c r="AP468" s="149"/>
      <c r="AQ468" s="149"/>
      <c r="AR468" s="149"/>
      <c r="AS468" s="149"/>
      <c r="BG468" s="155"/>
      <c r="BH468" s="152"/>
      <c r="EF468" s="152"/>
    </row>
    <row r="469" spans="3:136" ht="13.8" x14ac:dyDescent="0.25">
      <c r="C469" s="150"/>
    </row>
    <row r="470" spans="3:136" ht="13.8" x14ac:dyDescent="0.25">
      <c r="C470" s="150"/>
    </row>
    <row r="471" spans="3:136" ht="13.8" x14ac:dyDescent="0.25">
      <c r="C471" s="150"/>
    </row>
    <row r="472" spans="3:136" ht="13.8" x14ac:dyDescent="0.25">
      <c r="C472" s="150"/>
    </row>
    <row r="473" spans="3:136" ht="13.8" x14ac:dyDescent="0.25">
      <c r="C473" s="150"/>
    </row>
    <row r="474" spans="3:136" ht="13.8" x14ac:dyDescent="0.25">
      <c r="C474" s="150"/>
    </row>
    <row r="507" spans="3:3" x14ac:dyDescent="0.25">
      <c r="C507" s="158"/>
    </row>
    <row r="508" spans="3:3" x14ac:dyDescent="0.25">
      <c r="C508" s="158"/>
    </row>
    <row r="511" spans="3:3" x14ac:dyDescent="0.25">
      <c r="C511" s="158"/>
    </row>
    <row r="512" spans="3:3" x14ac:dyDescent="0.25">
      <c r="C512" s="158"/>
    </row>
    <row r="513" spans="3:3" x14ac:dyDescent="0.25">
      <c r="C513" s="158"/>
    </row>
    <row r="514" spans="3:3" x14ac:dyDescent="0.25">
      <c r="C514" s="158"/>
    </row>
    <row r="515" spans="3:3" x14ac:dyDescent="0.25">
      <c r="C515" s="158"/>
    </row>
    <row r="516" spans="3:3" x14ac:dyDescent="0.25">
      <c r="C516" s="158"/>
    </row>
    <row r="517" spans="3:3" x14ac:dyDescent="0.25">
      <c r="C517" s="158"/>
    </row>
    <row r="518" spans="3:3" x14ac:dyDescent="0.25">
      <c r="C518" s="158"/>
    </row>
    <row r="519" spans="3:3" x14ac:dyDescent="0.25">
      <c r="C519" s="158"/>
    </row>
    <row r="520" spans="3:3" x14ac:dyDescent="0.25">
      <c r="C520" s="158"/>
    </row>
    <row r="521" spans="3:3" x14ac:dyDescent="0.25">
      <c r="C521" s="158"/>
    </row>
    <row r="522" spans="3:3" x14ac:dyDescent="0.25">
      <c r="C522" s="158"/>
    </row>
    <row r="523" spans="3:3" x14ac:dyDescent="0.25">
      <c r="C523" s="158"/>
    </row>
    <row r="524" spans="3:3" x14ac:dyDescent="0.25">
      <c r="C524" s="158"/>
    </row>
    <row r="525" spans="3:3" x14ac:dyDescent="0.25">
      <c r="C525" s="158"/>
    </row>
    <row r="526" spans="3:3" x14ac:dyDescent="0.25">
      <c r="C526" s="158"/>
    </row>
    <row r="527" spans="3:3" x14ac:dyDescent="0.25">
      <c r="C527" s="158"/>
    </row>
    <row r="528" spans="3:3" x14ac:dyDescent="0.25">
      <c r="C528" s="158"/>
    </row>
    <row r="707" spans="3:3" x14ac:dyDescent="0.25">
      <c r="C707" s="158"/>
    </row>
    <row r="708" spans="3:3" x14ac:dyDescent="0.25">
      <c r="C708" s="158"/>
    </row>
    <row r="709" spans="3:3" x14ac:dyDescent="0.25">
      <c r="C709" s="158"/>
    </row>
    <row r="710" spans="3:3" x14ac:dyDescent="0.25">
      <c r="C710" s="158"/>
    </row>
    <row r="711" spans="3:3" x14ac:dyDescent="0.25">
      <c r="C711" s="158"/>
    </row>
    <row r="712" spans="3:3" x14ac:dyDescent="0.25">
      <c r="C712" s="158"/>
    </row>
    <row r="713" spans="3:3" x14ac:dyDescent="0.25">
      <c r="C713" s="158"/>
    </row>
    <row r="714" spans="3:3" x14ac:dyDescent="0.25">
      <c r="C714" s="158"/>
    </row>
    <row r="715" spans="3:3" x14ac:dyDescent="0.25">
      <c r="C715" s="158"/>
    </row>
    <row r="716" spans="3:3" x14ac:dyDescent="0.25">
      <c r="C716" s="158"/>
    </row>
  </sheetData>
  <mergeCells count="59">
    <mergeCell ref="EN6:EP6"/>
    <mergeCell ref="CL5:CM5"/>
    <mergeCell ref="CN5:CN6"/>
    <mergeCell ref="CO5:CO6"/>
    <mergeCell ref="CX6:DA6"/>
    <mergeCell ref="EB6:EE6"/>
    <mergeCell ref="EF6:EM6"/>
    <mergeCell ref="CE5:CE6"/>
    <mergeCell ref="CF5:CF6"/>
    <mergeCell ref="CG5:CG6"/>
    <mergeCell ref="CH5:CH6"/>
    <mergeCell ref="CI5:CI6"/>
    <mergeCell ref="CJ5:CK5"/>
    <mergeCell ref="BY5:BY6"/>
    <mergeCell ref="BZ5:BZ6"/>
    <mergeCell ref="CA5:CA6"/>
    <mergeCell ref="CB5:CB6"/>
    <mergeCell ref="CC5:CC6"/>
    <mergeCell ref="CD5:CD6"/>
    <mergeCell ref="BP5:BS5"/>
    <mergeCell ref="BT5:BT6"/>
    <mergeCell ref="BU5:BU6"/>
    <mergeCell ref="BV5:BV6"/>
    <mergeCell ref="BW5:BW6"/>
    <mergeCell ref="BX5:BX6"/>
    <mergeCell ref="AZ5:AZ6"/>
    <mergeCell ref="BA5:BA6"/>
    <mergeCell ref="BE5:BE6"/>
    <mergeCell ref="BF5:BF6"/>
    <mergeCell ref="BG5:BG6"/>
    <mergeCell ref="BH5:BO5"/>
    <mergeCell ref="AT5:AT6"/>
    <mergeCell ref="AU5:AU6"/>
    <mergeCell ref="AV5:AV6"/>
    <mergeCell ref="AW5:AW6"/>
    <mergeCell ref="AX5:AX6"/>
    <mergeCell ref="AY5:AY6"/>
    <mergeCell ref="AK5:AN5"/>
    <mergeCell ref="AO5:AO6"/>
    <mergeCell ref="AP5:AP6"/>
    <mergeCell ref="AQ5:AQ6"/>
    <mergeCell ref="AR5:AR6"/>
    <mergeCell ref="AS5:AS6"/>
    <mergeCell ref="J5:J6"/>
    <mergeCell ref="K5:K6"/>
    <mergeCell ref="L5:L6"/>
    <mergeCell ref="M5:M6"/>
    <mergeCell ref="N5:X5"/>
    <mergeCell ref="Y5:AJ5"/>
    <mergeCell ref="B1:CG1"/>
    <mergeCell ref="B2:CG2"/>
    <mergeCell ref="B3:I3"/>
    <mergeCell ref="B5:B6"/>
    <mergeCell ref="C5:C6"/>
    <mergeCell ref="D5:D6"/>
    <mergeCell ref="E5:E6"/>
    <mergeCell ref="F5:G6"/>
    <mergeCell ref="H5:H6"/>
    <mergeCell ref="I5:I6"/>
  </mergeCells>
  <conditionalFormatting sqref="D9:K9 C3:C1048576">
    <cfRule type="duplicateValues" dxfId="12" priority="10"/>
    <cfRule type="duplicateValues" dxfId="11" priority="11"/>
    <cfRule type="duplicateValues" dxfId="10" priority="12"/>
    <cfRule type="duplicateValues" dxfId="9" priority="13"/>
  </conditionalFormatting>
  <conditionalFormatting sqref="C1:C1048576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rintOptions horizontalCentered="1"/>
  <pageMargins left="0" right="0.15748031496062992" top="0.23622047244094491" bottom="0.43307086614173229" header="0.15748031496062992" footer="0.15748031496062992"/>
  <pageSetup paperSize="8" scale="55" fitToHeight="0" orientation="landscape" horizontalDpi="1200" verticalDpi="1200" r:id="rId1"/>
  <headerFooter>
    <oddFooter>&amp;CPage &amp;Pof&amp;N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Salary</vt:lpstr>
      <vt:lpstr>Salary!Print_Area</vt:lpstr>
      <vt:lpstr>Salary!Print_Titles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Sơn, Nguyễn Thái / IT</dc:creator>
  <cp:lastModifiedBy>Sơn, Nguyễn Thái / IT</cp:lastModifiedBy>
  <dcterms:created xsi:type="dcterms:W3CDTF">2026-08-06T04:22:46Z</dcterms:created>
  <dcterms:modified xsi:type="dcterms:W3CDTF">2026-08-06T04:24:10Z</dcterms:modified>
</cp:coreProperties>
</file>